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ni\dpo-app.v3.1\"/>
    </mc:Choice>
  </mc:AlternateContent>
  <xr:revisionPtr revIDLastSave="0" documentId="13_ncr:1_{FA56506B-30DF-400F-90D4-186FB9763C2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Hristian wants" sheetId="31" state="hidden" r:id="rId1"/>
    <sheet name="DSSW.SVC" sheetId="32" r:id="rId2"/>
    <sheet name="DSSW.Pts" sheetId="30" state="hidden" r:id="rId3"/>
    <sheet name="BMW Monday" sheetId="1" state="hidden" r:id="rId4"/>
    <sheet name="Audi Monday" sheetId="18" state="hidden" r:id="rId5"/>
    <sheet name="MB Monday" sheetId="19" state="hidden" r:id="rId6"/>
    <sheet name="Porsche Monday" sheetId="20" state="hidden" r:id="rId7"/>
    <sheet name="Ford Monday" sheetId="21" state="hidden" r:id="rId8"/>
    <sheet name="Honda R Monday" sheetId="22" state="hidden" r:id="rId9"/>
    <sheet name="LR Monday" sheetId="23" state="hidden" r:id="rId10"/>
    <sheet name="Honda SV Monday" sheetId="24" state="hidden" r:id="rId11"/>
    <sheet name="Acura Monday" sheetId="25" state="hidden" r:id="rId12"/>
    <sheet name="Chevy Monday" sheetId="26" state="hidden" r:id="rId13"/>
    <sheet name="Toyota Monday" sheetId="27" state="hidden" r:id="rId14"/>
    <sheet name="Subaru Monday" sheetId="28" state="hidden" r:id="rId15"/>
    <sheet name="VW Audi Monday" sheetId="29" state="hidden" r:id="rId16"/>
  </sheets>
  <definedNames>
    <definedName name="_xlnm.Print_Area" localSheetId="11">'Acura Monday'!$A$1:$AP$51</definedName>
    <definedName name="_xlnm.Print_Area" localSheetId="4">'Audi Monday'!$A$1:$AP$51</definedName>
    <definedName name="_xlnm.Print_Area" localSheetId="3">'BMW Monday'!$A$1:$H$53</definedName>
    <definedName name="_xlnm.Print_Area" localSheetId="12">'Chevy Monday'!$A$1:$AP$51</definedName>
    <definedName name="_xlnm.Print_Area" localSheetId="0">'CHristian wants'!$A$1:$M$32</definedName>
    <definedName name="_xlnm.Print_Area" localSheetId="2">DSSW.Pts!$A$1:$P$27</definedName>
    <definedName name="_xlnm.Print_Area" localSheetId="1">DSSW.SVC!$A$1:$H$24</definedName>
    <definedName name="_xlnm.Print_Area" localSheetId="7">'Ford Monday'!$A$1:$AP$51</definedName>
    <definedName name="_xlnm.Print_Area" localSheetId="8">'Honda R Monday'!$A$1:$AP$51</definedName>
    <definedName name="_xlnm.Print_Area" localSheetId="10">'Honda SV Monday'!$A$1:$AP$51</definedName>
    <definedName name="_xlnm.Print_Area" localSheetId="9">'LR Monday'!$A$1:$AP$51</definedName>
    <definedName name="_xlnm.Print_Area" localSheetId="5">'MB Monday'!$A$1:$AP$51</definedName>
    <definedName name="_xlnm.Print_Area" localSheetId="6">'Porsche Monday'!$A$1:$AP$51</definedName>
    <definedName name="_xlnm.Print_Area" localSheetId="14">'Subaru Monday'!$A$1:$AP$51</definedName>
    <definedName name="_xlnm.Print_Area" localSheetId="13">'Toyota Monday'!$A$1:$AP$51</definedName>
    <definedName name="_xlnm.Print_Area" localSheetId="15">'VW Audi Monday'!$A$1:$AP$51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<sst xmlns="http://schemas.openxmlformats.org/spreadsheetml/2006/main" count="1408" uniqueCount="235">
  <si>
    <t>Date</t>
  </si>
  <si>
    <t>1.  Gather Appointment/ Volume Data</t>
  </si>
  <si>
    <t>2.  Gather Menu, MPI  and Production Key Metric Data</t>
  </si>
  <si>
    <t>Todays Appts Scheduled</t>
  </si>
  <si>
    <t>Todays</t>
  </si>
  <si>
    <t>Today</t>
  </si>
  <si>
    <t>Target</t>
  </si>
  <si>
    <t>MTD</t>
  </si>
  <si>
    <t>Parts</t>
  </si>
  <si>
    <t>ASM's On Staff Today</t>
  </si>
  <si>
    <t xml:space="preserve">CP RO </t>
  </si>
  <si>
    <t>Menu Presentations</t>
  </si>
  <si>
    <t>&gt; 10 Inv %</t>
  </si>
  <si>
    <t>Tech's on Staff Today</t>
  </si>
  <si>
    <t>Need</t>
  </si>
  <si>
    <t>Menu Sales</t>
  </si>
  <si>
    <t>Appointment Target</t>
  </si>
  <si>
    <t>MPI</t>
  </si>
  <si>
    <t>Fill Rate</t>
  </si>
  <si>
    <t>Volume F/(u) MTD</t>
  </si>
  <si>
    <t>ASR Sold %</t>
  </si>
  <si>
    <t>3.  Gather SAPR Key Metric Data</t>
  </si>
  <si>
    <t>CP Conversion</t>
  </si>
  <si>
    <t>Yesterday</t>
  </si>
  <si>
    <t>Targets</t>
  </si>
  <si>
    <t>One Line RO's</t>
  </si>
  <si>
    <t>&lt; 50%</t>
  </si>
  <si>
    <t>CP Labor Margin</t>
  </si>
  <si>
    <t>Billed FRH's</t>
  </si>
  <si>
    <t>CP Parts Margin</t>
  </si>
  <si>
    <t>Efficiency</t>
  </si>
  <si>
    <t>CP GP/RO</t>
  </si>
  <si>
    <t>Bay Util %</t>
  </si>
  <si>
    <t>Tire Op Code</t>
  </si>
  <si>
    <t>Media ASR Created</t>
  </si>
  <si>
    <t>Declined Ops</t>
  </si>
  <si>
    <t>Media ASR Sent</t>
  </si>
  <si>
    <t>Discounts</t>
  </si>
  <si>
    <t>under 5</t>
  </si>
  <si>
    <t>4. Gather Customer Satisfaction and Financial Data</t>
  </si>
  <si>
    <t>Tire Vin Pen</t>
  </si>
  <si>
    <t>Bench</t>
  </si>
  <si>
    <t>3MR</t>
  </si>
  <si>
    <t>Align Vin Pen</t>
  </si>
  <si>
    <t>Customer Satisfaction</t>
  </si>
  <si>
    <t>BG Vin Pen</t>
  </si>
  <si>
    <t>Financial</t>
  </si>
  <si>
    <t>Per Day</t>
  </si>
  <si>
    <r>
      <t>Yest</t>
    </r>
    <r>
      <rPr>
        <sz val="9"/>
        <color theme="1"/>
        <rFont val="Calibri"/>
        <family val="2"/>
        <scheme val="minor"/>
      </rPr>
      <t xml:space="preserve"> Per day</t>
    </r>
  </si>
  <si>
    <t>Battery Vin Pen</t>
  </si>
  <si>
    <t>CP GP F/(u)</t>
  </si>
  <si>
    <t xml:space="preserve"> </t>
  </si>
  <si>
    <t>Brake Vin Pen</t>
  </si>
  <si>
    <t>WS/Retail F/(u)</t>
  </si>
  <si>
    <t>on track</t>
  </si>
  <si>
    <t>Open RO $$</t>
  </si>
  <si>
    <t>Total GP F/(u)</t>
  </si>
  <si>
    <t>Completed $$</t>
  </si>
  <si>
    <t>Total Expenses</t>
  </si>
  <si>
    <t>Days to Loan - CP/WP Cycle</t>
  </si>
  <si>
    <t>Utilization</t>
  </si>
  <si>
    <t>5. Analyze the Data and information you have gathered to prepare for your Smart Start Meeting</t>
  </si>
  <si>
    <t>Wins (+)/Opportunities (-)</t>
  </si>
  <si>
    <t>Todays Goals</t>
  </si>
  <si>
    <t>Todays Training Topic</t>
  </si>
  <si>
    <t>Selling tires</t>
  </si>
  <si>
    <t xml:space="preserve">Opt in discussion points . The value in opting in </t>
  </si>
  <si>
    <t xml:space="preserve">CSI and client experience </t>
  </si>
  <si>
    <t>Tires ,Video ASR</t>
  </si>
  <si>
    <t>6.  Use your information to plan for One on One meetings today</t>
  </si>
  <si>
    <t>ASM</t>
  </si>
  <si>
    <t>Items to discuss</t>
  </si>
  <si>
    <t>Todays Action Items</t>
  </si>
  <si>
    <t>7.  Staffing, KPA and TAP Needs</t>
  </si>
  <si>
    <t>Staffing</t>
  </si>
  <si>
    <t xml:space="preserve">Current </t>
  </si>
  <si>
    <t>KPA Focus Points</t>
  </si>
  <si>
    <t>TAP Meeting Items to remedy</t>
  </si>
  <si>
    <t>ASM's</t>
  </si>
  <si>
    <t>Training</t>
  </si>
  <si>
    <t>Tech's</t>
  </si>
  <si>
    <t>Porters/Support</t>
  </si>
  <si>
    <t>Admin/SAC</t>
  </si>
  <si>
    <t>Warranty Admin</t>
  </si>
  <si>
    <t>Open RO Aging &gt;5</t>
  </si>
  <si>
    <t>CP</t>
  </si>
  <si>
    <t>WP</t>
  </si>
  <si>
    <t>IP</t>
  </si>
  <si>
    <t>WS/Ret</t>
  </si>
  <si>
    <t>Status</t>
  </si>
  <si>
    <t>MTD GP</t>
  </si>
  <si>
    <t>People - ASM</t>
  </si>
  <si>
    <t>People - Technicians</t>
  </si>
  <si>
    <t xml:space="preserve">Alternate Transportation </t>
  </si>
  <si>
    <t>CSI</t>
  </si>
  <si>
    <t>Traffic Development</t>
  </si>
  <si>
    <t>UC Recon</t>
  </si>
  <si>
    <t>Service</t>
  </si>
  <si>
    <t>TTL</t>
  </si>
  <si>
    <t>Volume</t>
  </si>
  <si>
    <t>YoY%</t>
  </si>
  <si>
    <t>Budget</t>
  </si>
  <si>
    <t>% Budget</t>
  </si>
  <si>
    <t>Yellow input</t>
  </si>
  <si>
    <t>Green calc</t>
  </si>
  <si>
    <t>WIP Analysis</t>
  </si>
  <si>
    <t># &gt;5</t>
  </si>
  <si>
    <t>Total $$</t>
  </si>
  <si>
    <t>Oldest RO</t>
  </si>
  <si>
    <t>Status/Disposition/car here</t>
  </si>
  <si>
    <t>Appointment</t>
  </si>
  <si>
    <t>Today's</t>
  </si>
  <si>
    <t>MTD Show</t>
  </si>
  <si>
    <t>Next avail</t>
  </si>
  <si>
    <t>[date/time]</t>
  </si>
  <si>
    <t>OE Bonus</t>
  </si>
  <si>
    <t>Service Effect</t>
  </si>
  <si>
    <t>OE Scorecard</t>
  </si>
  <si>
    <t>Align Vin%</t>
  </si>
  <si>
    <t>Tire Vin%</t>
  </si>
  <si>
    <t>Batt Vin%</t>
  </si>
  <si>
    <t>Brake Vin%</t>
  </si>
  <si>
    <t>GP/RO</t>
  </si>
  <si>
    <t>Bottom ASM</t>
  </si>
  <si>
    <t>Sold FRH</t>
  </si>
  <si>
    <t>Tech Effcy</t>
  </si>
  <si>
    <t>Bottom Tech</t>
  </si>
  <si>
    <t>Video %</t>
  </si>
  <si>
    <t>AMS Backfill</t>
  </si>
  <si>
    <t>Connected Car</t>
  </si>
  <si>
    <t>FSA</t>
  </si>
  <si>
    <t>FSA Show</t>
  </si>
  <si>
    <t>No Show%</t>
  </si>
  <si>
    <t>Like brand dlr</t>
  </si>
  <si>
    <t>Non Dealer</t>
  </si>
  <si>
    <t>Door Rate</t>
  </si>
  <si>
    <t>Lof Price</t>
  </si>
  <si>
    <t>Align Price</t>
  </si>
  <si>
    <t>Batt Price</t>
  </si>
  <si>
    <t>Brake Price</t>
  </si>
  <si>
    <t>Competitors (Qtrly)</t>
  </si>
  <si>
    <t>Loaner Util%</t>
  </si>
  <si>
    <t xml:space="preserve">RO Cycle </t>
  </si>
  <si>
    <t>Length Loan</t>
  </si>
  <si>
    <t>Weekly Lyft/uber</t>
  </si>
  <si>
    <t>Weekly Rental</t>
  </si>
  <si>
    <t>Oe/Cust Recovery</t>
  </si>
  <si>
    <t>Open</t>
  </si>
  <si>
    <t>Open - Close</t>
  </si>
  <si>
    <t>Photos</t>
  </si>
  <si>
    <t>3 mo % Bench</t>
  </si>
  <si>
    <t>1 mo % Bench</t>
  </si>
  <si>
    <t>Today's Appt</t>
  </si>
  <si>
    <t>RO%</t>
  </si>
  <si>
    <t>Non RO%</t>
  </si>
  <si>
    <t>TTL Budget</t>
  </si>
  <si>
    <t>WS/Ret Budget</t>
  </si>
  <si>
    <t>WS/Ret Budget %</t>
  </si>
  <si>
    <t>AM Glass$</t>
  </si>
  <si>
    <t>Inventory</t>
  </si>
  <si>
    <t>Days Supply</t>
  </si>
  <si>
    <t>&gt;10 mo's</t>
  </si>
  <si>
    <t>OE Stk Order %</t>
  </si>
  <si>
    <t>Turn Rate</t>
  </si>
  <si>
    <t>Nits recent created</t>
  </si>
  <si>
    <t>Declining accts</t>
  </si>
  <si>
    <t>Top 5 return rate</t>
  </si>
  <si>
    <t>What Back Orders are causing RO Aging concerns?</t>
  </si>
  <si>
    <t>Have all special orders been contacted?</t>
  </si>
  <si>
    <t>How many clients with special orders that are still on shelf?</t>
  </si>
  <si>
    <t>How many Collision Centers within 10 miles that are opportunities?</t>
  </si>
  <si>
    <t>Business Development Questions</t>
  </si>
  <si>
    <t>Total GP</t>
  </si>
  <si>
    <t>WS/Ret GP</t>
  </si>
  <si>
    <t>What training and development is planned for this week?</t>
  </si>
  <si>
    <t>OE Bonus Pace</t>
  </si>
  <si>
    <t>top 5Nits declining accts</t>
  </si>
  <si>
    <t>WS/Ret $$</t>
  </si>
  <si>
    <t>5. Analyze the Data and information you have gathered to prepare for your Business Meeting</t>
  </si>
  <si>
    <t>RO #</t>
  </si>
  <si>
    <t xml:space="preserve">Top 5 Oldest Ro's </t>
  </si>
  <si>
    <t>OE Scorecard/Bonus</t>
  </si>
  <si>
    <t>Video ASR Created</t>
  </si>
  <si>
    <t>Video ASR Viewed</t>
  </si>
  <si>
    <t>Billed (Sold) FRH's</t>
  </si>
  <si>
    <t>YoY %</t>
  </si>
  <si>
    <t>% Budget (Pace)</t>
  </si>
  <si>
    <t>Today CP Ro Need</t>
  </si>
  <si>
    <t>FSA/Show Rate</t>
  </si>
  <si>
    <t>Next Avail Appt</t>
  </si>
  <si>
    <t>MPI Utilization</t>
  </si>
  <si>
    <t>Oe/Cp Recovery $$</t>
  </si>
  <si>
    <t>Policy Expense</t>
  </si>
  <si>
    <t>6.  ASM's and Techs Standouts (High performer/Low Performer)</t>
  </si>
  <si>
    <t>Key KPI</t>
  </si>
  <si>
    <t>Top 3 ASM's</t>
  </si>
  <si>
    <t>Bottom 3 ASM's</t>
  </si>
  <si>
    <t>Top 3 Technicians</t>
  </si>
  <si>
    <t>Bottom 3 Technicians</t>
  </si>
  <si>
    <t>FRH/Day</t>
  </si>
  <si>
    <t>Efficy</t>
  </si>
  <si>
    <t>DPO Attain</t>
  </si>
  <si>
    <t>Days to Loan/RO Cycle</t>
  </si>
  <si>
    <t>Rental/RS Expense</t>
  </si>
  <si>
    <t xml:space="preserve">CSI /client experience </t>
  </si>
  <si>
    <t>"Owner"</t>
  </si>
  <si>
    <t>Expected Compl</t>
  </si>
  <si>
    <t>RPR Open/Close</t>
  </si>
  <si>
    <t>Days to photos</t>
  </si>
  <si>
    <t>AMS Backfill Needed</t>
  </si>
  <si>
    <t>7.  Staffing, KPA/TAP and Competive Pricing</t>
  </si>
  <si>
    <t>KPA/TAP Focus Points</t>
  </si>
  <si>
    <t>Top Competitor Pricing</t>
  </si>
  <si>
    <t>LOF</t>
  </si>
  <si>
    <t>Align</t>
  </si>
  <si>
    <t>Brakes</t>
  </si>
  <si>
    <t>OE Dealer</t>
  </si>
  <si>
    <t>Independent Svc Prov</t>
  </si>
  <si>
    <t xml:space="preserve">WS Parts </t>
  </si>
  <si>
    <t>Parts Performance Meeting</t>
  </si>
  <si>
    <t>Accts with High Return Rate</t>
  </si>
  <si>
    <t>Top WS Acct Progress</t>
  </si>
  <si>
    <t>Margin</t>
  </si>
  <si>
    <t>Accts with declining margin</t>
  </si>
  <si>
    <t>Expected Weekly Outcomes (Pace)</t>
  </si>
  <si>
    <t>Oe Bonus Pace</t>
  </si>
  <si>
    <t>Open RO  No and $$</t>
  </si>
  <si>
    <t>Loaner Utilization</t>
  </si>
  <si>
    <t>CP Gross P/L</t>
  </si>
  <si>
    <t>Total Gross P/L</t>
  </si>
  <si>
    <t>Ws/Retail Gross P/L</t>
  </si>
  <si>
    <t>CP/WP RO Count MTD</t>
  </si>
  <si>
    <t>Today Appts Scheduled</t>
  </si>
  <si>
    <t>Open RO &gt; 5 days and $$</t>
  </si>
  <si>
    <t>MTD Parts Fill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</si>
</sst>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6" formatCode="&quot;$&quot;#,##0.00"/>
    <numFmt numFmtId="168" formatCode="&quot;$&quot;#,##0"/>
    <numFmt numFmtId="169" formatCode="0.0%"/>
    <numFmt numFmtId="170" formatCode="0.0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/>
      <bottom style="thin">
        <color indexed="64"/>
      </bottom>
      <diagonal/>
    </border>
    <border>
      <left/>
      <right style="double">
        <color rgb="FF3F3F3F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12">
    <xf numFmtId="0" fontId="0" fillId="0" borderId="0"/>
    <xf numFmtId="0" fontId="3" fillId="3" borderId="5" applyNumberFormat="0" applyAlignment="0" applyProtection="0"/>
    <xf numFmtId="0" fontId="1" fillId="4" borderId="0" applyNumberFormat="0" applyBorder="0" applyAlignment="0" applyProtection="0"/>
    <xf numFmtId="0" fontId="7" fillId="0" borderId="17" applyNumberFormat="0" applyFill="0" applyAlignment="0" applyProtection="0"/>
    <xf numFmtId="0" fontId="8" fillId="6" borderId="18" applyNumberFormat="0" applyAlignment="0" applyProtection="0"/>
    <xf numFmtId="0" fontId="9" fillId="7" borderId="18" applyNumberFormat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6" fillId="10" borderId="0" applyNumberFormat="0" applyBorder="0" applyAlignment="0" applyProtection="0"/>
    <xf numFmtId="0" fontId="1" fillId="11" borderId="0" applyNumberFormat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49">
    <xf numFmtId="0" fontId="0" fillId="0" borderId="0" xfId="0"/>
    <xf numFmtId="0" fontId="0" fillId="0" borderId="1" xfId="0" applyBorder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right"/>
    </xf>
    <xf numFmtId="9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1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Protection="1">
      <protection locked="0"/>
    </xf>
    <xf numFmtId="0" fontId="0" fillId="5" borderId="2" xfId="0" applyFill="1" applyBorder="1" applyAlignment="1">
      <alignment horizontal="center"/>
    </xf>
    <xf numFmtId="0" fontId="0" fillId="0" borderId="3" xfId="0" applyBorder="1"/>
    <xf numFmtId="0" fontId="5" fillId="4" borderId="0" xfId="2" applyFont="1" applyAlignment="1">
      <alignment horizontal="right"/>
    </xf>
    <xf numFmtId="0" fontId="5" fillId="4" borderId="0" xfId="2" applyFont="1" applyAlignment="1">
      <alignment horizontal="center"/>
    </xf>
    <xf numFmtId="0" fontId="3" fillId="3" borderId="5" xfId="1" applyAlignment="1"/>
    <xf numFmtId="9" fontId="0" fillId="0" borderId="1" xfId="0" applyNumberFormat="1" applyBorder="1" applyAlignment="1">
      <alignment horizontal="center"/>
    </xf>
    <xf numFmtId="9" fontId="0" fillId="0" borderId="1" xfId="0" applyNumberFormat="1" applyBorder="1" applyProtection="1">
      <protection locked="0"/>
    </xf>
    <xf numFmtId="3" fontId="0" fillId="0" borderId="1" xfId="0" applyNumberFormat="1" applyBorder="1" applyProtection="1">
      <protection locked="0"/>
    </xf>
    <xf numFmtId="10" fontId="0" fillId="0" borderId="1" xfId="0" applyNumberFormat="1" applyBorder="1" applyProtection="1">
      <protection locked="0"/>
    </xf>
    <xf numFmtId="3" fontId="0" fillId="0" borderId="1" xfId="0" applyNumberFormat="1" applyBorder="1"/>
    <xf numFmtId="9" fontId="0" fillId="0" borderId="4" xfId="0" applyNumberFormat="1" applyBorder="1" applyProtection="1">
      <protection locked="0"/>
    </xf>
    <xf numFmtId="10" fontId="0" fillId="0" borderId="4" xfId="0" applyNumberFormat="1" applyBorder="1" applyProtection="1">
      <protection locked="0"/>
    </xf>
    <xf numFmtId="10" fontId="0" fillId="0" borderId="1" xfId="0" applyNumberFormat="1" applyBorder="1"/>
    <xf numFmtId="3" fontId="0" fillId="0" borderId="0" xfId="0" applyNumberFormat="1"/>
    <xf numFmtId="16" fontId="0" fillId="5" borderId="0" xfId="0" applyNumberFormat="1" applyFill="1"/>
    <xf numFmtId="0" fontId="0" fillId="12" borderId="0" xfId="0" applyFill="1"/>
    <xf numFmtId="0" fontId="1" fillId="8" borderId="0" xfId="6" applyAlignment="1">
      <alignment horizontal="center"/>
    </xf>
    <xf numFmtId="0" fontId="0" fillId="5" borderId="0" xfId="0" applyFill="1"/>
    <xf numFmtId="0" fontId="0" fillId="13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 applyProtection="1">
      <alignment vertical="top"/>
      <protection locked="0"/>
    </xf>
    <xf numFmtId="0" fontId="1" fillId="9" borderId="0" xfId="7" applyAlignment="1">
      <alignment horizontal="right"/>
    </xf>
    <xf numFmtId="0" fontId="8" fillId="6" borderId="18" xfId="4" applyAlignment="1">
      <alignment horizontal="center"/>
    </xf>
    <xf numFmtId="0" fontId="8" fillId="6" borderId="18" xfId="4"/>
    <xf numFmtId="0" fontId="8" fillId="6" borderId="18" xfId="4" applyAlignment="1">
      <alignment horizontal="right"/>
    </xf>
    <xf numFmtId="0" fontId="9" fillId="7" borderId="18" xfId="5"/>
    <xf numFmtId="0" fontId="9" fillId="7" borderId="18" xfId="5" applyProtection="1">
      <protection locked="0"/>
    </xf>
    <xf numFmtId="0" fontId="8" fillId="6" borderId="0" xfId="4" applyBorder="1" applyAlignment="1">
      <alignment horizontal="right"/>
    </xf>
    <xf numFmtId="0" fontId="0" fillId="0" borderId="3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20" xfId="0" applyBorder="1" applyProtection="1">
      <protection locked="0"/>
    </xf>
    <xf numFmtId="0" fontId="2" fillId="2" borderId="0" xfId="0" applyFont="1" applyFill="1"/>
    <xf numFmtId="0" fontId="8" fillId="6" borderId="21" xfId="4" applyBorder="1" applyAlignment="1">
      <alignment horizontal="left" vertical="top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8" fillId="6" borderId="18" xfId="4" applyAlignment="1">
      <alignment horizontal="center" vertical="center"/>
    </xf>
    <xf numFmtId="9" fontId="0" fillId="0" borderId="1" xfId="0" applyNumberFormat="1" applyBorder="1" applyAlignment="1" applyProtection="1">
      <alignment horizontal="center" vertical="center"/>
      <protection locked="0"/>
    </xf>
    <xf numFmtId="9" fontId="0" fillId="0" borderId="1" xfId="0" applyNumberFormat="1" applyBorder="1" applyAlignment="1">
      <alignment horizontal="center" vertical="center"/>
    </xf>
    <xf numFmtId="9" fontId="0" fillId="0" borderId="4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0" fontId="0" fillId="0" borderId="4" xfId="0" applyNumberFormat="1" applyBorder="1" applyAlignment="1" applyProtection="1">
      <alignment horizontal="center" vertical="center"/>
      <protection locked="0"/>
    </xf>
    <xf numFmtId="10" fontId="0" fillId="0" borderId="1" xfId="0" applyNumberFormat="1" applyBorder="1" applyAlignment="1">
      <alignment horizontal="center" vertical="center"/>
    </xf>
    <xf numFmtId="0" fontId="9" fillId="7" borderId="18" xfId="5" applyAlignment="1" applyProtection="1">
      <alignment horizontal="center" vertical="center"/>
      <protection locked="0"/>
    </xf>
    <xf numFmtId="0" fontId="9" fillId="7" borderId="18" xfId="5" applyAlignment="1">
      <alignment horizontal="center" vertical="center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6" borderId="18" xfId="4" applyAlignment="1"/>
    <xf numFmtId="0" fontId="0" fillId="0" borderId="4" xfId="0" applyBorder="1" applyAlignment="1" applyProtection="1">
      <alignment vertical="top"/>
      <protection locked="0"/>
    </xf>
    <xf numFmtId="0" fontId="2" fillId="0" borderId="2" xfId="0" applyFont="1" applyBorder="1"/>
    <xf numFmtId="0" fontId="0" fillId="0" borderId="20" xfId="0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3" fillId="3" borderId="14" xfId="1" applyBorder="1" applyAlignment="1"/>
    <xf numFmtId="0" fontId="0" fillId="0" borderId="13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4" xfId="0" applyBorder="1"/>
    <xf numFmtId="0" fontId="6" fillId="10" borderId="0" xfId="8" applyAlignment="1"/>
    <xf numFmtId="0" fontId="6" fillId="10" borderId="0" xfId="8" applyBorder="1" applyAlignment="1"/>
    <xf numFmtId="0" fontId="8" fillId="6" borderId="19" xfId="4" applyBorder="1" applyAlignment="1">
      <alignment horizontal="center" vertical="center"/>
    </xf>
    <xf numFmtId="0" fontId="8" fillId="6" borderId="23" xfId="4" applyBorder="1" applyAlignment="1" applyProtection="1">
      <alignment horizontal="center" vertical="center"/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0" fontId="8" fillId="6" borderId="22" xfId="4" applyBorder="1"/>
    <xf numFmtId="0" fontId="8" fillId="6" borderId="32" xfId="4" applyBorder="1" applyAlignment="1">
      <alignment horizontal="right"/>
    </xf>
    <xf numFmtId="0" fontId="8" fillId="6" borderId="12" xfId="4" applyBorder="1" applyAlignment="1">
      <alignment horizontal="right"/>
    </xf>
    <xf numFmtId="0" fontId="0" fillId="14" borderId="1" xfId="0" applyFill="1" applyBorder="1" applyAlignment="1">
      <alignment horizontal="center" vertical="center"/>
    </xf>
    <xf numFmtId="0" fontId="0" fillId="5" borderId="1" xfId="0" applyFill="1" applyBorder="1"/>
    <xf numFmtId="0" fontId="1" fillId="0" borderId="0" xfId="6" applyFill="1" applyAlignment="1">
      <alignment vertical="center" textRotation="45" wrapText="1"/>
    </xf>
    <xf numFmtId="0" fontId="1" fillId="8" borderId="0" xfId="6" applyAlignment="1">
      <alignment vertical="center" wrapText="1"/>
    </xf>
    <xf numFmtId="0" fontId="0" fillId="5" borderId="0" xfId="0" applyFill="1" applyAlignment="1">
      <alignment horizontal="center" vertical="top" wrapText="1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11" borderId="0" xfId="9" applyAlignment="1">
      <alignment horizontal="center"/>
    </xf>
    <xf numFmtId="0" fontId="0" fillId="0" borderId="0" xfId="0" applyAlignment="1">
      <alignment horizontal="center" vertical="center" wrapText="1"/>
    </xf>
    <xf numFmtId="0" fontId="1" fillId="8" borderId="0" xfId="6" applyAlignment="1">
      <alignment horizontal="center" textRotation="45"/>
    </xf>
    <xf numFmtId="0" fontId="7" fillId="0" borderId="17" xfId="3" applyFill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1" fillId="8" borderId="0" xfId="6" applyAlignment="1">
      <alignment horizontal="center"/>
    </xf>
    <xf numFmtId="0" fontId="0" fillId="0" borderId="4" xfId="0" applyBorder="1" applyAlignment="1" applyProtection="1">
      <alignment horizontal="center" vertical="top"/>
      <protection locked="0"/>
    </xf>
    <xf numFmtId="0" fontId="0" fillId="0" borderId="13" xfId="0" applyBorder="1" applyAlignment="1" applyProtection="1">
      <alignment horizontal="center" vertical="top"/>
      <protection locked="0"/>
    </xf>
    <xf numFmtId="0" fontId="0" fillId="0" borderId="12" xfId="0" applyBorder="1" applyAlignment="1" applyProtection="1">
      <alignment horizontal="center" vertical="top"/>
      <protection locked="0"/>
    </xf>
    <xf numFmtId="0" fontId="2" fillId="2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14" xfId="1" applyBorder="1" applyAlignment="1">
      <alignment horizontal="center" vertical="center"/>
    </xf>
    <xf numFmtId="0" fontId="3" fillId="3" borderId="15" xfId="1" applyBorder="1" applyAlignment="1">
      <alignment horizontal="center" vertical="center"/>
    </xf>
    <xf numFmtId="0" fontId="8" fillId="6" borderId="18" xfId="4" applyAlignment="1">
      <alignment horizontal="center"/>
    </xf>
    <xf numFmtId="0" fontId="8" fillId="6" borderId="22" xfId="4" applyBorder="1" applyAlignment="1">
      <alignment horizontal="center"/>
    </xf>
    <xf numFmtId="0" fontId="8" fillId="6" borderId="0" xfId="4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/>
    </xf>
    <xf numFmtId="0" fontId="8" fillId="6" borderId="4" xfId="4" applyBorder="1" applyAlignment="1">
      <alignment horizontal="center" vertical="center"/>
    </xf>
    <xf numFmtId="0" fontId="8" fillId="6" borderId="12" xfId="4" applyBorder="1" applyAlignment="1">
      <alignment horizontal="center" vertical="center"/>
    </xf>
    <xf numFmtId="0" fontId="8" fillId="6" borderId="7" xfId="4" applyBorder="1" applyAlignment="1">
      <alignment horizontal="center"/>
    </xf>
    <xf numFmtId="0" fontId="8" fillId="6" borderId="9" xfId="4" applyBorder="1" applyAlignment="1">
      <alignment horizontal="center"/>
    </xf>
    <xf numFmtId="0" fontId="3" fillId="0" borderId="8" xfId="1" applyFill="1" applyBorder="1" applyAlignment="1">
      <alignment horizontal="left" vertical="top"/>
    </xf>
    <xf numFmtId="0" fontId="3" fillId="0" borderId="0" xfId="1" applyFill="1" applyBorder="1" applyAlignment="1">
      <alignment horizontal="left" vertical="top"/>
    </xf>
    <xf numFmtId="0" fontId="0" fillId="5" borderId="1" xfId="0" applyFill="1" applyBorder="1" applyAlignment="1">
      <alignment horizontal="center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1" xfId="0" applyBorder="1" applyAlignment="1" applyProtection="1">
      <alignment horizontal="left" vertical="top"/>
      <protection locked="0"/>
    </xf>
    <xf numFmtId="0" fontId="3" fillId="3" borderId="15" xfId="1" applyBorder="1" applyAlignment="1">
      <alignment horizontal="center"/>
    </xf>
    <xf numFmtId="0" fontId="3" fillId="3" borderId="16" xfId="1" applyBorder="1" applyAlignment="1">
      <alignment horizontal="center"/>
    </xf>
    <xf numFmtId="0" fontId="3" fillId="3" borderId="14" xfId="1" applyBorder="1" applyAlignment="1">
      <alignment horizontal="center"/>
    </xf>
    <xf numFmtId="0" fontId="3" fillId="3" borderId="0" xfId="1" applyBorder="1" applyAlignment="1">
      <alignment horizontal="center"/>
    </xf>
    <xf numFmtId="0" fontId="0" fillId="0" borderId="4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168" fontId="0" fillId="0" borderId="1" xfId="0" applyNumberFormat="1" applyBorder="1" applyAlignment="1">
      <alignment horizontal="center" vertical="center"/>
    </xf>
    <xf numFmtId="169" fontId="0" fillId="0" borderId="1" xfId="11" applyNumberFormat="1" applyFont="1" applyBorder="1" applyAlignment="1" applyProtection="1">
      <alignment horizontal="center" vertical="center"/>
      <protection locked="0"/>
    </xf>
    <xf numFmtId="166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10" applyNumberFormat="1" applyFont="1" applyBorder="1" applyAlignment="1" applyProtection="1">
      <alignment horizontal="center" vertical="center"/>
      <protection locked="0"/>
    </xf>
    <xf numFmtId="170" fontId="0" fillId="0" borderId="1" xfId="0" applyNumberFormat="1" applyBorder="1" applyAlignment="1">
      <alignment horizontal="center" vertical="center"/>
    </xf>
    <xf numFmtId="0" fontId="8" fillId="6" borderId="21" xfId="4" applyBorder="1"/>
    <xf numFmtId="0" fontId="8" fillId="6" borderId="33" xfId="4" applyBorder="1"/>
    <xf numFmtId="0" fontId="8" fillId="6" borderId="34" xfId="4" applyBorder="1" applyAlignment="1">
      <alignment horizontal="left" vertical="top"/>
    </xf>
    <xf numFmtId="169" fontId="0" fillId="0" borderId="1" xfId="11" applyNumberFormat="1" applyFont="1" applyBorder="1"/>
    <xf numFmtId="168" fontId="0" fillId="0" borderId="1" xfId="0" applyNumberFormat="1" applyBorder="1"/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 applyProtection="1">
      <alignment horizontal="center" vertical="center"/>
      <protection locked="0"/>
    </xf>
    <xf numFmtId="0" fontId="0" fillId="12" borderId="1" xfId="0" applyFill="1" applyBorder="1"/>
    <xf numFmtId="169" fontId="0" fillId="0" borderId="1" xfId="11" applyNumberFormat="1" applyFont="1" applyBorder="1" applyAlignment="1">
      <alignment horizontal="center" vertical="center"/>
    </xf>
  </cellXfs>
  <cellStyles count="12">
    <cellStyle name="60% - Accent2" xfId="8" builtinId="36"/>
    <cellStyle name="Accent1" xfId="6" builtinId="29"/>
    <cellStyle name="Accent2" xfId="7" builtinId="33"/>
    <cellStyle name="Accent3" xfId="2" builtinId="37"/>
    <cellStyle name="Accent5" xfId="9" builtinId="45"/>
    <cellStyle name="Calculation" xfId="5" builtinId="22"/>
    <cellStyle name="Check Cell" xfId="1" builtinId="23"/>
    <cellStyle name="Comma" xfId="10" builtinId="3"/>
    <cellStyle name="Heading 1" xfId="3" builtinId="16"/>
    <cellStyle name="Input" xfId="4" builtinId="20"/>
    <cellStyle name="Normal" xfId="0" builtinId="0"/>
    <cellStyle name="Percent" xfId="1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4B0D-74CA-4837-986A-D55EA299E860}">
  <dimension ref="A1:O32"/>
  <sheetViews>
    <sheetView topLeftCell="A13" zoomScaleNormal="100" workbookViewId="0">
      <selection activeCell="AQ16" sqref="AQ16"/>
    </sheetView>
  </sheetViews>
  <sheetFormatPr defaultRowHeight="14.4" x14ac:dyDescent="0.3"/>
  <cols>
    <col min="2" max="2" width="11.77734375" customWidth="1"/>
    <col min="4" max="4" width="11.21875" customWidth="1"/>
    <col min="5" max="5" width="10.109375" customWidth="1"/>
    <col min="7" max="7" width="11.88671875" customWidth="1"/>
    <col min="8" max="8" width="15.21875" customWidth="1"/>
    <col min="9" max="9" width="9.44140625" customWidth="1"/>
    <col min="11" max="11" width="10.21875" customWidth="1"/>
    <col min="12" max="12" width="10.5546875" customWidth="1"/>
  </cols>
  <sheetData>
    <row r="1" spans="1:12" x14ac:dyDescent="0.3">
      <c r="A1" t="s">
        <v>103</v>
      </c>
      <c r="B1" s="99" t="s">
        <v>97</v>
      </c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12" x14ac:dyDescent="0.3">
      <c r="A2" t="s">
        <v>104</v>
      </c>
      <c r="B2" t="s">
        <v>90</v>
      </c>
      <c r="C2" t="s">
        <v>7</v>
      </c>
      <c r="D2" t="s">
        <v>100</v>
      </c>
      <c r="E2" t="s">
        <v>101</v>
      </c>
      <c r="F2" t="s">
        <v>102</v>
      </c>
      <c r="G2" t="s">
        <v>105</v>
      </c>
      <c r="H2" t="s">
        <v>106</v>
      </c>
      <c r="I2" t="s">
        <v>107</v>
      </c>
    </row>
    <row r="3" spans="1:12" x14ac:dyDescent="0.3">
      <c r="B3" t="s">
        <v>98</v>
      </c>
      <c r="C3" s="31">
        <v>100000</v>
      </c>
      <c r="D3" s="31"/>
      <c r="E3" s="31"/>
      <c r="F3" s="32"/>
      <c r="G3" t="s">
        <v>108</v>
      </c>
      <c r="H3" s="31"/>
      <c r="I3" s="31"/>
      <c r="J3" s="31"/>
      <c r="K3" s="32"/>
    </row>
    <row r="4" spans="1:12" x14ac:dyDescent="0.3">
      <c r="B4" t="s">
        <v>85</v>
      </c>
      <c r="C4" s="31"/>
      <c r="D4" s="31"/>
      <c r="E4" s="31"/>
      <c r="F4" s="32"/>
      <c r="G4" t="s">
        <v>108</v>
      </c>
      <c r="H4" s="31"/>
      <c r="I4" s="92" t="s">
        <v>109</v>
      </c>
      <c r="J4" s="92"/>
      <c r="K4" s="92"/>
    </row>
    <row r="5" spans="1:12" x14ac:dyDescent="0.3">
      <c r="B5" t="s">
        <v>99</v>
      </c>
      <c r="C5" s="31"/>
      <c r="D5" s="31"/>
      <c r="E5" s="31"/>
      <c r="F5" s="32"/>
      <c r="G5" t="s">
        <v>108</v>
      </c>
      <c r="H5" s="31"/>
      <c r="I5" s="92" t="s">
        <v>109</v>
      </c>
      <c r="J5" s="92"/>
      <c r="K5" s="92"/>
    </row>
    <row r="6" spans="1:12" x14ac:dyDescent="0.3">
      <c r="B6" t="s">
        <v>86</v>
      </c>
      <c r="C6" s="31"/>
      <c r="D6" s="31"/>
      <c r="E6" s="31"/>
      <c r="F6" s="32"/>
      <c r="G6" t="s">
        <v>108</v>
      </c>
      <c r="H6" s="31"/>
      <c r="I6" s="92" t="s">
        <v>109</v>
      </c>
      <c r="J6" s="92"/>
      <c r="K6" s="92"/>
    </row>
    <row r="7" spans="1:12" x14ac:dyDescent="0.3">
      <c r="B7" t="s">
        <v>87</v>
      </c>
      <c r="C7" s="31"/>
      <c r="D7" s="31"/>
      <c r="E7" s="31"/>
      <c r="F7" s="32"/>
      <c r="G7" t="s">
        <v>108</v>
      </c>
      <c r="H7" s="31"/>
      <c r="I7" s="92" t="s">
        <v>109</v>
      </c>
      <c r="J7" s="92"/>
      <c r="K7" s="92"/>
    </row>
    <row r="8" spans="1:12" x14ac:dyDescent="0.3">
      <c r="B8" t="s">
        <v>88</v>
      </c>
      <c r="C8" s="31"/>
      <c r="D8" s="31"/>
      <c r="E8" s="31"/>
      <c r="F8" s="32"/>
      <c r="G8" t="s">
        <v>108</v>
      </c>
      <c r="H8" s="31"/>
      <c r="I8" s="92" t="s">
        <v>109</v>
      </c>
      <c r="J8" s="92"/>
      <c r="K8" s="92"/>
    </row>
    <row r="9" spans="1:12" x14ac:dyDescent="0.3">
      <c r="C9" t="s">
        <v>111</v>
      </c>
      <c r="D9" t="s">
        <v>112</v>
      </c>
      <c r="E9" t="s">
        <v>113</v>
      </c>
      <c r="G9" t="s">
        <v>108</v>
      </c>
      <c r="H9" s="31"/>
      <c r="I9" s="92" t="s">
        <v>109</v>
      </c>
      <c r="J9" s="92"/>
      <c r="K9" s="92"/>
    </row>
    <row r="10" spans="1:12" x14ac:dyDescent="0.3">
      <c r="B10" t="s">
        <v>110</v>
      </c>
      <c r="C10" s="31"/>
      <c r="D10" s="31"/>
      <c r="E10" t="s">
        <v>114</v>
      </c>
    </row>
    <row r="11" spans="1:12" x14ac:dyDescent="0.3">
      <c r="C11" t="s">
        <v>115</v>
      </c>
      <c r="D11" t="s">
        <v>116</v>
      </c>
      <c r="G11" s="93" t="s">
        <v>94</v>
      </c>
      <c r="H11" s="93"/>
      <c r="I11" t="s">
        <v>151</v>
      </c>
      <c r="J11" t="s">
        <v>150</v>
      </c>
    </row>
    <row r="12" spans="1:12" x14ac:dyDescent="0.3">
      <c r="B12" t="s">
        <v>117</v>
      </c>
      <c r="C12" s="31"/>
      <c r="D12" s="31"/>
      <c r="I12" s="31"/>
      <c r="J12" s="31"/>
    </row>
    <row r="13" spans="1:12" x14ac:dyDescent="0.3">
      <c r="C13" t="s">
        <v>119</v>
      </c>
      <c r="D13" t="s">
        <v>118</v>
      </c>
      <c r="E13" t="s">
        <v>120</v>
      </c>
      <c r="F13" t="s">
        <v>121</v>
      </c>
      <c r="G13" t="s">
        <v>122</v>
      </c>
      <c r="I13" t="s">
        <v>124</v>
      </c>
      <c r="J13" t="s">
        <v>125</v>
      </c>
      <c r="K13" t="s">
        <v>127</v>
      </c>
    </row>
    <row r="14" spans="1:12" x14ac:dyDescent="0.3">
      <c r="B14" t="s">
        <v>91</v>
      </c>
      <c r="C14" s="31"/>
      <c r="D14" s="31"/>
      <c r="E14" s="31"/>
      <c r="F14" s="31"/>
      <c r="G14" s="31"/>
      <c r="H14" t="s">
        <v>92</v>
      </c>
    </row>
    <row r="15" spans="1:12" x14ac:dyDescent="0.3">
      <c r="B15" s="31" t="s">
        <v>123</v>
      </c>
      <c r="C15" s="31"/>
      <c r="D15" s="31"/>
      <c r="E15" s="31"/>
      <c r="F15" s="31"/>
      <c r="G15" s="31"/>
      <c r="H15" s="31" t="s">
        <v>126</v>
      </c>
    </row>
    <row r="16" spans="1:12" x14ac:dyDescent="0.3">
      <c r="B16" s="31" t="s">
        <v>123</v>
      </c>
      <c r="C16" s="31"/>
      <c r="D16" s="31"/>
      <c r="E16" s="31"/>
      <c r="F16" s="31"/>
      <c r="G16" s="31"/>
      <c r="H16" s="31" t="s">
        <v>126</v>
      </c>
    </row>
    <row r="17" spans="2:15" x14ac:dyDescent="0.3">
      <c r="B17" s="31" t="s">
        <v>123</v>
      </c>
      <c r="C17" s="31"/>
      <c r="D17" s="31"/>
      <c r="E17" s="31"/>
      <c r="F17" s="31"/>
      <c r="G17" s="31"/>
      <c r="H17" s="31" t="s">
        <v>126</v>
      </c>
    </row>
    <row r="18" spans="2:15" x14ac:dyDescent="0.3">
      <c r="B18" s="31" t="s">
        <v>123</v>
      </c>
      <c r="C18" s="31"/>
      <c r="D18" s="31"/>
      <c r="E18" s="31"/>
      <c r="F18" s="31"/>
      <c r="G18" s="31"/>
      <c r="H18" s="31" t="s">
        <v>126</v>
      </c>
      <c r="O18" t="s">
        <v>129</v>
      </c>
    </row>
    <row r="19" spans="2:15" x14ac:dyDescent="0.3">
      <c r="B19" s="31" t="s">
        <v>123</v>
      </c>
      <c r="C19" s="31"/>
      <c r="D19" s="31"/>
      <c r="E19" s="31"/>
      <c r="F19" s="31"/>
      <c r="G19" s="31"/>
      <c r="H19" s="31" t="s">
        <v>126</v>
      </c>
    </row>
    <row r="21" spans="2:15" x14ac:dyDescent="0.3">
      <c r="B21" t="s">
        <v>95</v>
      </c>
      <c r="C21" t="s">
        <v>152</v>
      </c>
      <c r="D21" t="s">
        <v>113</v>
      </c>
      <c r="E21" t="s">
        <v>132</v>
      </c>
      <c r="F21" t="s">
        <v>130</v>
      </c>
      <c r="G21" t="s">
        <v>131</v>
      </c>
      <c r="H21" t="s">
        <v>93</v>
      </c>
      <c r="I21" t="s">
        <v>141</v>
      </c>
      <c r="J21" t="s">
        <v>142</v>
      </c>
      <c r="K21" t="s">
        <v>143</v>
      </c>
    </row>
    <row r="22" spans="2:15" x14ac:dyDescent="0.3">
      <c r="C22" s="31"/>
      <c r="D22" s="31" t="s">
        <v>114</v>
      </c>
      <c r="E22" s="31"/>
      <c r="F22" s="31"/>
      <c r="G22" s="31"/>
      <c r="I22" s="31"/>
      <c r="J22" s="31"/>
      <c r="K22" s="31"/>
    </row>
    <row r="23" spans="2:15" x14ac:dyDescent="0.3">
      <c r="H23" t="s">
        <v>144</v>
      </c>
      <c r="I23" s="31"/>
      <c r="J23" s="29"/>
      <c r="K23" s="29"/>
    </row>
    <row r="24" spans="2:15" x14ac:dyDescent="0.3">
      <c r="H24" t="s">
        <v>145</v>
      </c>
      <c r="I24" s="31"/>
      <c r="J24" s="29"/>
      <c r="K24" s="29"/>
    </row>
    <row r="25" spans="2:15" x14ac:dyDescent="0.3">
      <c r="H25" t="s">
        <v>146</v>
      </c>
      <c r="I25" s="31"/>
      <c r="J25" s="29"/>
      <c r="K25" s="29"/>
    </row>
    <row r="26" spans="2:15" x14ac:dyDescent="0.3">
      <c r="B26" t="s">
        <v>140</v>
      </c>
      <c r="C26" t="s">
        <v>135</v>
      </c>
      <c r="D26" t="s">
        <v>136</v>
      </c>
      <c r="E26" t="s">
        <v>137</v>
      </c>
      <c r="F26" t="s">
        <v>138</v>
      </c>
      <c r="G26" t="s">
        <v>139</v>
      </c>
      <c r="I26" t="s">
        <v>147</v>
      </c>
      <c r="J26" t="s">
        <v>148</v>
      </c>
      <c r="K26" t="s">
        <v>149</v>
      </c>
      <c r="L26" t="s">
        <v>128</v>
      </c>
    </row>
    <row r="27" spans="2:15" x14ac:dyDescent="0.3">
      <c r="B27" t="s">
        <v>133</v>
      </c>
      <c r="H27" t="s">
        <v>96</v>
      </c>
      <c r="I27" s="31"/>
      <c r="J27" s="31"/>
      <c r="K27" s="31"/>
      <c r="L27" s="31"/>
    </row>
    <row r="28" spans="2:15" x14ac:dyDescent="0.3">
      <c r="B28" t="s">
        <v>133</v>
      </c>
    </row>
    <row r="29" spans="2:15" x14ac:dyDescent="0.3">
      <c r="B29" t="s">
        <v>133</v>
      </c>
    </row>
    <row r="30" spans="2:15" x14ac:dyDescent="0.3">
      <c r="B30" t="s">
        <v>134</v>
      </c>
    </row>
    <row r="31" spans="2:15" x14ac:dyDescent="0.3">
      <c r="B31" t="s">
        <v>134</v>
      </c>
    </row>
    <row r="32" spans="2:15" x14ac:dyDescent="0.3">
      <c r="B32" t="s">
        <v>134</v>
      </c>
    </row>
  </sheetData>
  <mergeCells count="8">
    <mergeCell ref="I8:K8"/>
    <mergeCell ref="I9:K9"/>
    <mergeCell ref="G11:H11"/>
    <mergeCell ref="B1:L1"/>
    <mergeCell ref="I4:K4"/>
    <mergeCell ref="I5:K5"/>
    <mergeCell ref="I6:K6"/>
    <mergeCell ref="I7:K7"/>
  </mergeCells>
  <pageMargins left="0.7" right="0.7" top="0.75" bottom="0.75" header="0.3" footer="0.3"/>
  <pageSetup scale="86" orientation="landscape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D440-5340-4AAA-8E11-13AFF068C0CC}">
  <dimension ref="A1:I24"/>
  <sheetViews>
    <sheetView tabSelected="1" zoomScaleNormal="100" workbookViewId="0">
      <selection activeCell="AQ18" sqref="AQ18"/>
    </sheetView>
  </sheetViews>
  <sheetFormatPr defaultRowHeight="14.4" x14ac:dyDescent="0.3"/>
  <cols>
    <col min="1" max="1" width="21" customWidth="1"/>
    <col min="4" max="4" width="19.6640625" hidden="1" customWidth="1"/>
    <col min="5" max="5" width="10" hidden="1" customWidth="1"/>
    <col min="6" max="6" width="0" hidden="1" customWidth="1"/>
    <col min="7" max="7" width="9.77734375" hidden="1" customWidth="1"/>
    <col min="8" max="8" width="15.5546875" hidden="1" customWidth="1"/>
    <col min="9" max="9" width="15.88671875" customWidth="1"/>
    <col min="10" max="42" width="0" hidden="1" customWidth="1"/>
  </cols>
  <sheetData>
    <row r="1" spans="1:9" x14ac:dyDescent="0.3">
      <c r="A1" s="3" t="s">
        <v>0</v>
      </c>
      <c r="B1" s="28">
        <v>45293</v>
      </c>
      <c r="D1" s="110"/>
      <c r="E1" s="110"/>
    </row>
    <row r="2" spans="1:9" ht="15.6" x14ac:dyDescent="0.3">
      <c r="A2" s="111" t="s">
        <v>1</v>
      </c>
      <c r="B2" s="111"/>
      <c r="C2" s="111"/>
      <c r="D2" s="103" t="s">
        <v>2</v>
      </c>
      <c r="E2" s="103"/>
      <c r="F2" s="103"/>
      <c r="G2" s="103"/>
      <c r="H2" s="103"/>
      <c r="I2" s="48"/>
    </row>
    <row r="3" spans="1:9" x14ac:dyDescent="0.3">
      <c r="A3" s="140" t="s">
        <v>232</v>
      </c>
      <c r="B3" s="54">
        <v>57</v>
      </c>
      <c r="C3" s="145"/>
      <c r="D3" s="2"/>
      <c r="E3" s="40" t="s">
        <v>5</v>
      </c>
      <c r="F3" s="40" t="s">
        <v>6</v>
      </c>
      <c r="G3" s="40" t="s">
        <v>7</v>
      </c>
      <c r="H3" s="37" t="s">
        <v>12</v>
      </c>
    </row>
    <row r="4" spans="1:9" x14ac:dyDescent="0.3">
      <c r="A4" s="140" t="s">
        <v>27</v>
      </c>
      <c r="B4" s="136">
        <v>0.72</v>
      </c>
      <c r="C4" s="52">
        <v>0.8</v>
      </c>
      <c r="D4" s="141" t="s">
        <v>11</v>
      </c>
      <c r="E4" s="51">
        <v>0.8</v>
      </c>
      <c r="F4" s="52">
        <v>0.8</v>
      </c>
      <c r="G4" s="53">
        <v>0.81</v>
      </c>
      <c r="H4" s="52">
        <v>8.2000000000000003E-2</v>
      </c>
    </row>
    <row r="5" spans="1:9" x14ac:dyDescent="0.3">
      <c r="A5" s="140" t="s">
        <v>29</v>
      </c>
      <c r="B5" s="136">
        <v>0.40100000000000002</v>
      </c>
      <c r="C5" s="52">
        <v>0.45</v>
      </c>
      <c r="D5" s="141" t="s">
        <v>15</v>
      </c>
      <c r="E5" s="51">
        <v>0.56000000000000005</v>
      </c>
      <c r="F5" s="52">
        <v>0.5</v>
      </c>
      <c r="G5" s="53">
        <v>0.39</v>
      </c>
    </row>
    <row r="6" spans="1:9" x14ac:dyDescent="0.3">
      <c r="A6" s="140" t="s">
        <v>31</v>
      </c>
      <c r="B6" s="137">
        <v>335.76</v>
      </c>
      <c r="C6" s="146"/>
      <c r="D6" s="141" t="s">
        <v>190</v>
      </c>
      <c r="E6" s="54">
        <v>98</v>
      </c>
      <c r="F6" s="52">
        <v>1</v>
      </c>
      <c r="G6" s="55">
        <v>98</v>
      </c>
    </row>
    <row r="7" spans="1:9" x14ac:dyDescent="0.3">
      <c r="A7" s="140" t="s">
        <v>226</v>
      </c>
      <c r="B7" s="60">
        <v>50</v>
      </c>
      <c r="C7" s="135">
        <v>211324</v>
      </c>
      <c r="D7" s="141" t="s">
        <v>20</v>
      </c>
      <c r="E7" s="51">
        <v>0.57999999999999996</v>
      </c>
      <c r="F7" s="52">
        <v>0.25</v>
      </c>
      <c r="G7" s="56">
        <v>0.52</v>
      </c>
      <c r="H7" s="50" t="s">
        <v>187</v>
      </c>
    </row>
    <row r="8" spans="1:9" x14ac:dyDescent="0.3">
      <c r="A8" s="140" t="s">
        <v>233</v>
      </c>
      <c r="B8" s="60">
        <v>51</v>
      </c>
      <c r="C8" s="135">
        <v>211325</v>
      </c>
      <c r="D8" s="141" t="s">
        <v>182</v>
      </c>
      <c r="E8" s="54">
        <v>92</v>
      </c>
      <c r="F8" s="49"/>
      <c r="G8" s="49">
        <v>92</v>
      </c>
      <c r="H8" s="49"/>
    </row>
    <row r="9" spans="1:9" x14ac:dyDescent="0.3">
      <c r="A9" s="47" t="s">
        <v>202</v>
      </c>
      <c r="B9" s="139">
        <v>3.2</v>
      </c>
      <c r="C9" s="147"/>
      <c r="D9" s="141" t="s">
        <v>183</v>
      </c>
      <c r="E9" s="54">
        <v>100</v>
      </c>
      <c r="F9" s="49"/>
      <c r="G9" s="57">
        <v>1</v>
      </c>
      <c r="H9" s="50" t="s">
        <v>188</v>
      </c>
    </row>
    <row r="10" spans="1:9" x14ac:dyDescent="0.3">
      <c r="A10" s="84" t="s">
        <v>227</v>
      </c>
      <c r="B10" s="143">
        <v>0.92</v>
      </c>
      <c r="C10" s="147"/>
      <c r="D10" s="141" t="s">
        <v>184</v>
      </c>
      <c r="E10" s="54">
        <v>1138</v>
      </c>
      <c r="F10" s="49"/>
      <c r="G10" s="55">
        <v>1138</v>
      </c>
      <c r="H10" s="49"/>
    </row>
    <row r="11" spans="1:9" x14ac:dyDescent="0.3">
      <c r="A11" s="84" t="s">
        <v>229</v>
      </c>
      <c r="B11" s="144">
        <v>125001</v>
      </c>
      <c r="C11" s="147"/>
      <c r="D11" s="141" t="s">
        <v>30</v>
      </c>
      <c r="E11" s="51">
        <v>0.96</v>
      </c>
      <c r="F11" s="49"/>
      <c r="G11" s="54">
        <v>96</v>
      </c>
      <c r="H11" s="50" t="s">
        <v>189</v>
      </c>
    </row>
    <row r="12" spans="1:9" x14ac:dyDescent="0.3">
      <c r="A12" s="84" t="s">
        <v>228</v>
      </c>
      <c r="B12" s="144">
        <v>62312</v>
      </c>
      <c r="C12" s="147"/>
      <c r="D12" s="141" t="s">
        <v>32</v>
      </c>
      <c r="E12" s="51">
        <v>0.36</v>
      </c>
      <c r="F12" s="49"/>
      <c r="G12" s="51">
        <v>0.36</v>
      </c>
      <c r="H12" s="49"/>
    </row>
    <row r="13" spans="1:9" x14ac:dyDescent="0.3">
      <c r="A13" s="84" t="s">
        <v>230</v>
      </c>
      <c r="B13" s="144">
        <v>15121</v>
      </c>
      <c r="C13" s="147"/>
      <c r="F13" s="49"/>
      <c r="G13" s="49"/>
      <c r="H13" s="87"/>
    </row>
    <row r="14" spans="1:9" x14ac:dyDescent="0.3">
      <c r="A14" s="140" t="s">
        <v>231</v>
      </c>
      <c r="B14" s="138">
        <v>651</v>
      </c>
      <c r="C14" s="147"/>
      <c r="D14" s="142" t="s">
        <v>60</v>
      </c>
      <c r="E14" s="49"/>
      <c r="F14" s="49"/>
      <c r="G14" s="49"/>
      <c r="H14" s="87"/>
    </row>
    <row r="15" spans="1:9" ht="15.6" x14ac:dyDescent="0.3">
      <c r="A15" s="50" t="s">
        <v>234</v>
      </c>
      <c r="B15" s="148">
        <v>0.89</v>
      </c>
      <c r="C15" s="147"/>
      <c r="D15" s="46" t="s">
        <v>39</v>
      </c>
      <c r="E15" s="46"/>
      <c r="F15" s="46"/>
      <c r="G15" s="46"/>
      <c r="H15" s="46"/>
    </row>
    <row r="16" spans="1:9" x14ac:dyDescent="0.3">
      <c r="E16" s="41" t="s">
        <v>7</v>
      </c>
      <c r="F16" s="40" t="s">
        <v>41</v>
      </c>
      <c r="G16" s="40" t="s">
        <v>42</v>
      </c>
      <c r="H16" s="40" t="s">
        <v>41</v>
      </c>
    </row>
    <row r="17" spans="4:8" x14ac:dyDescent="0.3">
      <c r="D17" s="36" t="s">
        <v>44</v>
      </c>
      <c r="E17" s="54">
        <v>84.21</v>
      </c>
      <c r="F17" s="49">
        <v>78.3</v>
      </c>
      <c r="G17" s="49">
        <v>76.42</v>
      </c>
      <c r="H17" s="49">
        <v>73.06</v>
      </c>
    </row>
    <row r="18" spans="4:8" x14ac:dyDescent="0.3">
      <c r="D18" s="30" t="s">
        <v>46</v>
      </c>
      <c r="E18" s="58" t="s">
        <v>7</v>
      </c>
      <c r="F18" s="58" t="s">
        <v>185</v>
      </c>
      <c r="G18" s="58" t="s">
        <v>101</v>
      </c>
      <c r="H18" s="59" t="s">
        <v>186</v>
      </c>
    </row>
    <row r="19" spans="4:8" x14ac:dyDescent="0.3">
      <c r="D19" s="39" t="s">
        <v>50</v>
      </c>
      <c r="E19" s="54">
        <v>96363</v>
      </c>
      <c r="F19" s="60">
        <v>225000</v>
      </c>
      <c r="G19" s="54">
        <v>15000</v>
      </c>
      <c r="H19" s="49" t="s">
        <v>51</v>
      </c>
    </row>
    <row r="20" spans="4:8" x14ac:dyDescent="0.3">
      <c r="D20" s="39" t="s">
        <v>53</v>
      </c>
      <c r="E20" s="54">
        <v>42489</v>
      </c>
      <c r="F20" s="54" t="s">
        <v>54</v>
      </c>
      <c r="G20" s="54">
        <v>10000</v>
      </c>
      <c r="H20" s="49" t="s">
        <v>51</v>
      </c>
    </row>
    <row r="21" spans="4:8" x14ac:dyDescent="0.3">
      <c r="D21" s="39" t="s">
        <v>56</v>
      </c>
      <c r="E21" s="60">
        <v>241690</v>
      </c>
      <c r="F21" s="61">
        <v>500000</v>
      </c>
      <c r="G21" s="61">
        <v>64139</v>
      </c>
      <c r="H21" s="49" t="s">
        <v>51</v>
      </c>
    </row>
    <row r="22" spans="4:8" x14ac:dyDescent="0.3">
      <c r="D22" s="85" t="s">
        <v>58</v>
      </c>
      <c r="E22" s="54">
        <v>20985</v>
      </c>
      <c r="F22" s="49"/>
      <c r="G22" s="49">
        <v>20985</v>
      </c>
      <c r="H22" s="49"/>
    </row>
    <row r="23" spans="4:8" x14ac:dyDescent="0.3">
      <c r="D23" s="86" t="s">
        <v>203</v>
      </c>
      <c r="E23" s="54"/>
      <c r="F23" s="113" t="s">
        <v>191</v>
      </c>
      <c r="G23" s="114"/>
      <c r="H23" s="49"/>
    </row>
    <row r="24" spans="4:8" x14ac:dyDescent="0.3">
      <c r="D24" s="42" t="s">
        <v>192</v>
      </c>
      <c r="E24" s="54"/>
      <c r="F24" s="115" t="s">
        <v>181</v>
      </c>
      <c r="G24" s="116"/>
      <c r="H24" s="49"/>
    </row>
  </sheetData>
  <sheetProtection selectLockedCells="1"/>
  <mergeCells count="5">
    <mergeCell ref="D1:E1"/>
    <mergeCell ref="A2:C2"/>
    <mergeCell ref="D2:H2"/>
    <mergeCell ref="F23:G23"/>
    <mergeCell ref="F24:G24"/>
  </mergeCells>
  <pageMargins left="0.25" right="0.25" top="0.44270833333333331" bottom="0.75" header="9.8958333333333329E-2" footer="0.3"/>
  <pageSetup scale="94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  <colBreaks count="2" manualBreakCount="2">
    <brk id="8" max="50" man="1"/>
    <brk id="9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8906-62C6-4C3D-8661-E67344D16CF5}">
  <dimension ref="A1:V27"/>
  <sheetViews>
    <sheetView topLeftCell="B1" zoomScaleNormal="100" workbookViewId="0">
      <selection activeCell="G9" sqref="G9:I9"/>
    </sheetView>
  </sheetViews>
  <sheetFormatPr defaultRowHeight="14.4" x14ac:dyDescent="0.3"/>
  <cols>
    <col min="1" max="1" width="8.77734375" hidden="1" customWidth="1"/>
    <col min="2" max="2" width="11.77734375" customWidth="1"/>
    <col min="3" max="3" width="10.5546875" bestFit="1" customWidth="1"/>
    <col min="4" max="4" width="9.77734375" customWidth="1"/>
    <col min="5" max="5" width="11.21875" customWidth="1"/>
    <col min="7" max="7" width="9.88671875" bestFit="1" customWidth="1"/>
  </cols>
  <sheetData>
    <row r="1" spans="2:22" ht="20.399999999999999" thickBot="1" x14ac:dyDescent="0.45">
      <c r="B1" s="97" t="s">
        <v>219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2:22" ht="29.4" thickTop="1" x14ac:dyDescent="0.3">
      <c r="B2" s="96" t="s">
        <v>90</v>
      </c>
      <c r="C2" s="34" t="s">
        <v>153</v>
      </c>
      <c r="D2" s="34" t="s">
        <v>154</v>
      </c>
      <c r="E2" s="34" t="s">
        <v>7</v>
      </c>
      <c r="F2" s="34" t="s">
        <v>100</v>
      </c>
      <c r="G2" s="34" t="s">
        <v>155</v>
      </c>
      <c r="H2" s="34" t="s">
        <v>102</v>
      </c>
      <c r="I2" s="34" t="s">
        <v>177</v>
      </c>
      <c r="J2" s="34" t="s">
        <v>156</v>
      </c>
      <c r="K2" s="34" t="s">
        <v>157</v>
      </c>
      <c r="L2" s="34" t="s">
        <v>175</v>
      </c>
      <c r="M2" s="34" t="s">
        <v>158</v>
      </c>
    </row>
    <row r="3" spans="2:22" x14ac:dyDescent="0.3">
      <c r="B3" s="96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</row>
    <row r="4" spans="2:22" ht="28.8" x14ac:dyDescent="0.3">
      <c r="B4" s="96" t="s">
        <v>159</v>
      </c>
      <c r="C4" s="34" t="s">
        <v>160</v>
      </c>
      <c r="D4" s="34" t="s">
        <v>163</v>
      </c>
      <c r="E4" s="34" t="s">
        <v>18</v>
      </c>
      <c r="F4" s="34" t="s">
        <v>161</v>
      </c>
      <c r="G4" s="34" t="s">
        <v>162</v>
      </c>
    </row>
    <row r="5" spans="2:22" x14ac:dyDescent="0.3">
      <c r="B5" s="96"/>
      <c r="C5" s="88"/>
      <c r="D5" s="88"/>
      <c r="E5" s="88"/>
      <c r="F5" s="88"/>
      <c r="G5" s="88"/>
      <c r="H5" s="89"/>
    </row>
    <row r="6" spans="2:22" ht="40.950000000000003" customHeight="1" x14ac:dyDescent="0.3">
      <c r="B6" s="90" t="s">
        <v>218</v>
      </c>
      <c r="C6" s="98" t="s">
        <v>221</v>
      </c>
      <c r="D6" s="98"/>
      <c r="E6" s="98"/>
      <c r="F6" s="34" t="s">
        <v>222</v>
      </c>
      <c r="G6" s="95" t="s">
        <v>165</v>
      </c>
      <c r="H6" s="95"/>
      <c r="I6" s="95"/>
      <c r="J6" s="95" t="s">
        <v>223</v>
      </c>
      <c r="K6" s="95"/>
      <c r="L6" s="95"/>
      <c r="M6" s="95" t="s">
        <v>220</v>
      </c>
      <c r="N6" s="95"/>
      <c r="O6" s="95"/>
    </row>
    <row r="7" spans="2:22" ht="17.55" customHeight="1" x14ac:dyDescent="0.3">
      <c r="C7" s="92" t="s">
        <v>164</v>
      </c>
      <c r="D7" s="92"/>
      <c r="E7" s="92"/>
      <c r="G7" s="93"/>
      <c r="H7" s="93"/>
      <c r="I7" s="93"/>
      <c r="J7" s="92" t="s">
        <v>176</v>
      </c>
      <c r="K7" s="92"/>
      <c r="L7" s="92"/>
      <c r="M7" s="92" t="s">
        <v>166</v>
      </c>
      <c r="N7" s="92"/>
      <c r="O7" s="92"/>
      <c r="V7" s="34"/>
    </row>
    <row r="8" spans="2:22" x14ac:dyDescent="0.3">
      <c r="C8" s="92" t="s">
        <v>164</v>
      </c>
      <c r="D8" s="92"/>
      <c r="E8" s="92"/>
      <c r="G8" s="93"/>
      <c r="H8" s="93"/>
      <c r="I8" s="93"/>
      <c r="J8" s="92" t="s">
        <v>176</v>
      </c>
      <c r="K8" s="92"/>
      <c r="L8" s="92"/>
      <c r="M8" s="92" t="s">
        <v>166</v>
      </c>
      <c r="N8" s="92"/>
      <c r="O8" s="92"/>
      <c r="V8" s="33"/>
    </row>
    <row r="9" spans="2:22" x14ac:dyDescent="0.3">
      <c r="C9" s="92" t="s">
        <v>164</v>
      </c>
      <c r="D9" s="92"/>
      <c r="E9" s="92"/>
      <c r="G9" s="93"/>
      <c r="H9" s="93"/>
      <c r="I9" s="93"/>
      <c r="J9" s="92" t="s">
        <v>176</v>
      </c>
      <c r="K9" s="92"/>
      <c r="L9" s="92"/>
      <c r="M9" s="92" t="s">
        <v>166</v>
      </c>
      <c r="N9" s="92"/>
      <c r="O9" s="92"/>
      <c r="V9" s="33"/>
    </row>
    <row r="10" spans="2:22" x14ac:dyDescent="0.3">
      <c r="C10" s="92" t="s">
        <v>164</v>
      </c>
      <c r="D10" s="92"/>
      <c r="E10" s="92"/>
      <c r="G10" s="93"/>
      <c r="H10" s="93"/>
      <c r="I10" s="93"/>
      <c r="J10" s="92" t="s">
        <v>176</v>
      </c>
      <c r="K10" s="92"/>
      <c r="L10" s="92"/>
      <c r="M10" s="92" t="s">
        <v>166</v>
      </c>
      <c r="N10" s="92"/>
      <c r="O10" s="92"/>
      <c r="V10" s="33"/>
    </row>
    <row r="11" spans="2:22" x14ac:dyDescent="0.3">
      <c r="C11" s="92" t="s">
        <v>164</v>
      </c>
      <c r="D11" s="92"/>
      <c r="E11" s="92"/>
      <c r="G11" s="93"/>
      <c r="H11" s="93"/>
      <c r="I11" s="93"/>
      <c r="J11" s="92" t="s">
        <v>176</v>
      </c>
      <c r="K11" s="92"/>
      <c r="L11" s="92"/>
      <c r="M11" s="92" t="s">
        <v>166</v>
      </c>
      <c r="N11" s="92"/>
      <c r="O11" s="92"/>
      <c r="V11" s="33"/>
    </row>
    <row r="12" spans="2:22" x14ac:dyDescent="0.3">
      <c r="V12" s="33"/>
    </row>
    <row r="13" spans="2:22" x14ac:dyDescent="0.3">
      <c r="B13" s="94" t="s">
        <v>224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2:22" ht="28.8" x14ac:dyDescent="0.3">
      <c r="F14" s="34" t="s">
        <v>172</v>
      </c>
      <c r="G14" s="34" t="s">
        <v>173</v>
      </c>
      <c r="H14" s="34" t="s">
        <v>160</v>
      </c>
      <c r="I14" s="34" t="s">
        <v>161</v>
      </c>
      <c r="J14" s="34" t="s">
        <v>225</v>
      </c>
    </row>
    <row r="15" spans="2:22" x14ac:dyDescent="0.3">
      <c r="F15" s="31"/>
      <c r="G15" s="31"/>
      <c r="H15" s="31"/>
      <c r="I15" s="31"/>
      <c r="J15" s="31"/>
    </row>
    <row r="17" spans="2:16" x14ac:dyDescent="0.3">
      <c r="B17" s="94" t="s">
        <v>171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</row>
    <row r="18" spans="2:16" x14ac:dyDescent="0.3">
      <c r="B18" t="s">
        <v>167</v>
      </c>
    </row>
    <row r="19" spans="2:16" x14ac:dyDescent="0.3"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</row>
    <row r="20" spans="2:16" x14ac:dyDescent="0.3">
      <c r="B20" t="s">
        <v>168</v>
      </c>
    </row>
    <row r="21" spans="2:16" x14ac:dyDescent="0.3"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2" spans="2:16" x14ac:dyDescent="0.3">
      <c r="B22" t="s">
        <v>169</v>
      </c>
    </row>
    <row r="23" spans="2:16" x14ac:dyDescent="0.3"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spans="2:16" x14ac:dyDescent="0.3">
      <c r="B24" t="s">
        <v>170</v>
      </c>
    </row>
    <row r="25" spans="2:16" x14ac:dyDescent="0.3"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</row>
    <row r="26" spans="2:16" x14ac:dyDescent="0.3">
      <c r="B26" t="s">
        <v>174</v>
      </c>
    </row>
    <row r="27" spans="2:16" x14ac:dyDescent="0.3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</row>
  </sheetData>
  <mergeCells count="34">
    <mergeCell ref="B1:P1"/>
    <mergeCell ref="C6:E6"/>
    <mergeCell ref="G6:I6"/>
    <mergeCell ref="J6:L6"/>
    <mergeCell ref="B19:P19"/>
    <mergeCell ref="C8:E8"/>
    <mergeCell ref="G8:I8"/>
    <mergeCell ref="J8:L8"/>
    <mergeCell ref="M8:O8"/>
    <mergeCell ref="B2:B3"/>
    <mergeCell ref="B4:B5"/>
    <mergeCell ref="M6:O6"/>
    <mergeCell ref="C7:E7"/>
    <mergeCell ref="G7:I7"/>
    <mergeCell ref="J7:L7"/>
    <mergeCell ref="M7:O7"/>
    <mergeCell ref="C9:E9"/>
    <mergeCell ref="G9:I9"/>
    <mergeCell ref="J9:L9"/>
    <mergeCell ref="M9:O9"/>
    <mergeCell ref="C10:E10"/>
    <mergeCell ref="G10:I10"/>
    <mergeCell ref="J10:L10"/>
    <mergeCell ref="M10:O10"/>
    <mergeCell ref="B25:P25"/>
    <mergeCell ref="B27:P27"/>
    <mergeCell ref="C11:E11"/>
    <mergeCell ref="G11:I11"/>
    <mergeCell ref="J11:L11"/>
    <mergeCell ref="M11:O11"/>
    <mergeCell ref="B13:P13"/>
    <mergeCell ref="B17:P17"/>
    <mergeCell ref="B21:P21"/>
    <mergeCell ref="B23:P23"/>
  </mergeCells>
  <phoneticPr fontId="10" type="noConversion"/>
  <dataValidations count="1">
    <dataValidation type="custom" allowBlank="1" showInputMessage="1" showErrorMessage="1" sqref="F18" xr:uid="{C163329D-F9A6-42F6-997F-E10DA51CCE51}">
      <formula1>"Y,N"</formula1>
    </dataValidation>
  </dataValidations>
  <pageMargins left="0.7" right="0.7" top="0.75" bottom="0.75" header="0.3" footer="0.3"/>
  <pageSetup scale="87" orientation="landscape" r:id="rId1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19.6640625" customWidth="1"/>
    <col min="5" max="5" width="10" customWidth="1"/>
    <col min="7" max="7" width="9.77734375" customWidth="1"/>
    <col min="8" max="8" width="15.5546875" customWidth="1"/>
    <col min="9" max="9" width="15.88671875" customWidth="1"/>
    <col min="10" max="42" width="0" hidden="1" customWidth="1"/>
  </cols>
  <sheetData>
    <row r="1" spans="1:9" x14ac:dyDescent="0.3">
      <c r="A1" s="3" t="s">
        <v>0</v>
      </c>
      <c r="B1" s="28">
        <v>45293</v>
      </c>
      <c r="D1" s="110"/>
      <c r="E1" s="110"/>
    </row>
    <row r="2" spans="1:9" ht="15.6" x14ac:dyDescent="0.3">
      <c r="A2" s="111" t="s">
        <v>1</v>
      </c>
      <c r="B2" s="111"/>
      <c r="C2" s="111"/>
      <c r="D2" s="103" t="s">
        <v>2</v>
      </c>
      <c r="E2" s="103"/>
      <c r="F2" s="103"/>
      <c r="G2" s="103"/>
      <c r="H2" s="103"/>
      <c r="I2" s="48"/>
    </row>
    <row r="3" spans="1:9" x14ac:dyDescent="0.3">
      <c r="A3" s="38" t="s">
        <v>3</v>
      </c>
      <c r="B3" s="54">
        <v>57</v>
      </c>
      <c r="C3" s="62"/>
      <c r="D3" s="2"/>
      <c r="E3" s="40" t="s">
        <v>5</v>
      </c>
      <c r="F3" s="40" t="s">
        <v>6</v>
      </c>
      <c r="G3" s="40" t="s">
        <v>7</v>
      </c>
      <c r="H3" s="37" t="s">
        <v>12</v>
      </c>
    </row>
    <row r="4" spans="1:9" x14ac:dyDescent="0.3">
      <c r="A4" s="38" t="s">
        <v>16</v>
      </c>
      <c r="B4" s="54">
        <v>65</v>
      </c>
      <c r="C4" s="62"/>
      <c r="D4" s="38" t="s">
        <v>11</v>
      </c>
      <c r="E4" s="51">
        <v>0.8</v>
      </c>
      <c r="F4" s="52">
        <v>0.8</v>
      </c>
      <c r="G4" s="53">
        <v>0.81</v>
      </c>
      <c r="H4" s="52">
        <v>8.2000000000000003E-2</v>
      </c>
    </row>
    <row r="5" spans="1:9" x14ac:dyDescent="0.3">
      <c r="A5" s="38" t="s">
        <v>19</v>
      </c>
      <c r="B5" s="51">
        <v>9.7000000000000003E-2</v>
      </c>
      <c r="C5" s="62"/>
      <c r="D5" s="38" t="s">
        <v>15</v>
      </c>
      <c r="E5" s="51">
        <v>0.56000000000000005</v>
      </c>
      <c r="F5" s="52">
        <v>0.5</v>
      </c>
      <c r="G5" s="53">
        <v>0.39</v>
      </c>
      <c r="H5" s="50" t="s">
        <v>18</v>
      </c>
    </row>
    <row r="6" spans="1:9" x14ac:dyDescent="0.3">
      <c r="A6" s="38" t="s">
        <v>9</v>
      </c>
      <c r="B6" s="54">
        <v>7</v>
      </c>
      <c r="C6" s="49"/>
      <c r="D6" s="38" t="s">
        <v>190</v>
      </c>
      <c r="E6" s="54">
        <v>98</v>
      </c>
      <c r="F6" s="52">
        <v>1</v>
      </c>
      <c r="G6" s="55">
        <v>98</v>
      </c>
      <c r="H6" s="49">
        <v>89</v>
      </c>
    </row>
    <row r="7" spans="1:9" x14ac:dyDescent="0.3">
      <c r="A7" s="38" t="s">
        <v>13</v>
      </c>
      <c r="B7" s="54">
        <v>18</v>
      </c>
      <c r="C7" s="49"/>
      <c r="D7" s="38" t="s">
        <v>20</v>
      </c>
      <c r="E7" s="51">
        <v>0.57999999999999996</v>
      </c>
      <c r="F7" s="52">
        <v>0.25</v>
      </c>
      <c r="G7" s="56">
        <v>0.52</v>
      </c>
      <c r="H7" s="50" t="s">
        <v>187</v>
      </c>
    </row>
    <row r="8" spans="1:9" ht="15.6" x14ac:dyDescent="0.3">
      <c r="A8" s="112" t="s">
        <v>21</v>
      </c>
      <c r="B8" s="112"/>
      <c r="C8" s="112"/>
      <c r="D8" s="38" t="s">
        <v>182</v>
      </c>
      <c r="E8" s="54">
        <v>92</v>
      </c>
      <c r="F8" s="49"/>
      <c r="G8" s="49">
        <v>92</v>
      </c>
      <c r="H8" s="49"/>
    </row>
    <row r="9" spans="1:9" x14ac:dyDescent="0.3">
      <c r="B9" s="59" t="s">
        <v>23</v>
      </c>
      <c r="C9" s="59" t="s">
        <v>24</v>
      </c>
      <c r="D9" s="38" t="s">
        <v>183</v>
      </c>
      <c r="E9" s="54">
        <v>100</v>
      </c>
      <c r="F9" s="49"/>
      <c r="G9" s="57">
        <v>1</v>
      </c>
      <c r="H9" s="50" t="s">
        <v>188</v>
      </c>
    </row>
    <row r="10" spans="1:9" x14ac:dyDescent="0.3">
      <c r="A10" s="38" t="s">
        <v>27</v>
      </c>
      <c r="B10" s="54">
        <v>72</v>
      </c>
      <c r="C10" s="52">
        <v>0.8</v>
      </c>
      <c r="D10" s="38" t="s">
        <v>184</v>
      </c>
      <c r="E10" s="54">
        <v>1138</v>
      </c>
      <c r="F10" s="49"/>
      <c r="G10" s="55">
        <v>1138</v>
      </c>
      <c r="H10" s="49"/>
    </row>
    <row r="11" spans="1:9" x14ac:dyDescent="0.3">
      <c r="A11" s="38" t="s">
        <v>29</v>
      </c>
      <c r="B11" s="54">
        <v>40</v>
      </c>
      <c r="C11" s="52">
        <v>0.45</v>
      </c>
      <c r="D11" s="38" t="s">
        <v>30</v>
      </c>
      <c r="E11" s="51">
        <v>0.96</v>
      </c>
      <c r="F11" s="49"/>
      <c r="G11" s="54">
        <v>96</v>
      </c>
      <c r="H11" s="50" t="s">
        <v>189</v>
      </c>
    </row>
    <row r="12" spans="1:9" x14ac:dyDescent="0.3">
      <c r="A12" s="38" t="s">
        <v>31</v>
      </c>
      <c r="B12" s="54">
        <v>335.76</v>
      </c>
      <c r="C12" s="54"/>
      <c r="D12" s="38" t="s">
        <v>32</v>
      </c>
      <c r="E12" s="51">
        <v>0.36</v>
      </c>
      <c r="F12" s="49"/>
      <c r="G12" s="51">
        <v>0.36</v>
      </c>
      <c r="H12" s="49"/>
    </row>
    <row r="13" spans="1:9" x14ac:dyDescent="0.3">
      <c r="A13" s="38" t="s">
        <v>33</v>
      </c>
      <c r="B13" s="54">
        <v>92</v>
      </c>
      <c r="C13" s="52">
        <v>0.95</v>
      </c>
      <c r="D13" s="47" t="s">
        <v>202</v>
      </c>
      <c r="E13" s="49"/>
      <c r="F13" s="49"/>
      <c r="G13" s="49"/>
      <c r="H13" s="49"/>
    </row>
    <row r="14" spans="1:9" x14ac:dyDescent="0.3">
      <c r="A14" s="38" t="s">
        <v>35</v>
      </c>
      <c r="B14" s="54">
        <v>30</v>
      </c>
      <c r="C14" s="52">
        <v>0.25</v>
      </c>
      <c r="D14" s="47" t="s">
        <v>60</v>
      </c>
      <c r="E14" s="49"/>
      <c r="F14" s="49"/>
      <c r="G14" s="49"/>
      <c r="H14" s="49"/>
    </row>
    <row r="15" spans="1:9" ht="15.6" x14ac:dyDescent="0.3">
      <c r="A15" s="38" t="s">
        <v>37</v>
      </c>
      <c r="B15" s="54">
        <v>2.7</v>
      </c>
      <c r="C15" s="49" t="s">
        <v>38</v>
      </c>
      <c r="D15" s="46" t="s">
        <v>39</v>
      </c>
      <c r="E15" s="46"/>
      <c r="F15" s="46"/>
      <c r="G15" s="46"/>
      <c r="H15" s="46"/>
    </row>
    <row r="16" spans="1:9" x14ac:dyDescent="0.3">
      <c r="A16" s="38" t="s">
        <v>40</v>
      </c>
      <c r="B16" s="54">
        <v>1.7</v>
      </c>
      <c r="C16" s="52">
        <v>0.16900000000000001</v>
      </c>
      <c r="E16" s="41" t="s">
        <v>7</v>
      </c>
      <c r="F16" s="40" t="s">
        <v>41</v>
      </c>
      <c r="G16" s="40" t="s">
        <v>42</v>
      </c>
      <c r="H16" s="40" t="s">
        <v>41</v>
      </c>
    </row>
    <row r="17" spans="1:9" x14ac:dyDescent="0.3">
      <c r="A17" s="38" t="s">
        <v>43</v>
      </c>
      <c r="B17" s="54">
        <v>10.199999999999999</v>
      </c>
      <c r="C17" s="52">
        <v>0.17</v>
      </c>
      <c r="D17" s="36" t="s">
        <v>44</v>
      </c>
      <c r="E17" s="54">
        <v>84.21</v>
      </c>
      <c r="F17" s="49">
        <v>78.3</v>
      </c>
      <c r="G17" s="49">
        <v>76.42</v>
      </c>
      <c r="H17" s="49">
        <v>73.06</v>
      </c>
    </row>
    <row r="18" spans="1:9" x14ac:dyDescent="0.3">
      <c r="A18" s="38" t="s">
        <v>49</v>
      </c>
      <c r="B18" s="54">
        <v>3.8</v>
      </c>
      <c r="C18" s="52">
        <v>7.0099999999999996E-2</v>
      </c>
      <c r="D18" s="30" t="s">
        <v>46</v>
      </c>
      <c r="E18" s="58" t="s">
        <v>7</v>
      </c>
      <c r="F18" s="58" t="s">
        <v>185</v>
      </c>
      <c r="G18" s="58" t="s">
        <v>101</v>
      </c>
      <c r="H18" s="59" t="s">
        <v>186</v>
      </c>
    </row>
    <row r="19" spans="1:9" x14ac:dyDescent="0.3">
      <c r="A19" s="38" t="s">
        <v>52</v>
      </c>
      <c r="B19" s="54">
        <v>3.5</v>
      </c>
      <c r="C19" s="52">
        <v>6.0999999999999999E-2</v>
      </c>
      <c r="D19" s="39" t="s">
        <v>50</v>
      </c>
      <c r="E19" s="54">
        <v>96363</v>
      </c>
      <c r="F19" s="60">
        <v>225000</v>
      </c>
      <c r="G19" s="54">
        <v>15000</v>
      </c>
      <c r="H19" s="49" t="s">
        <v>51</v>
      </c>
    </row>
    <row r="20" spans="1:9" x14ac:dyDescent="0.3">
      <c r="A20" s="38" t="s">
        <v>84</v>
      </c>
      <c r="B20" s="60">
        <v>217418</v>
      </c>
      <c r="C20" s="52"/>
      <c r="D20" s="39" t="s">
        <v>53</v>
      </c>
      <c r="E20" s="54">
        <v>42489</v>
      </c>
      <c r="F20" s="54" t="s">
        <v>54</v>
      </c>
      <c r="G20" s="54">
        <v>10000</v>
      </c>
      <c r="H20" s="49" t="s">
        <v>51</v>
      </c>
    </row>
    <row r="21" spans="1:9" x14ac:dyDescent="0.3">
      <c r="A21" s="38" t="s">
        <v>57</v>
      </c>
      <c r="B21" s="61">
        <v>187068</v>
      </c>
      <c r="C21" s="61">
        <v>100000</v>
      </c>
      <c r="D21" s="39" t="s">
        <v>56</v>
      </c>
      <c r="E21" s="60">
        <v>241690</v>
      </c>
      <c r="F21" s="61">
        <v>500000</v>
      </c>
      <c r="G21" s="61">
        <v>64139</v>
      </c>
      <c r="H21" s="49" t="s">
        <v>51</v>
      </c>
    </row>
    <row r="22" spans="1:9" x14ac:dyDescent="0.3">
      <c r="A22" s="84" t="s">
        <v>207</v>
      </c>
      <c r="B22" s="61"/>
      <c r="C22" s="61"/>
      <c r="D22" s="85" t="s">
        <v>58</v>
      </c>
      <c r="E22" s="54">
        <v>20985</v>
      </c>
      <c r="F22" s="49"/>
      <c r="G22" s="49">
        <v>20985</v>
      </c>
      <c r="H22" s="49"/>
    </row>
    <row r="23" spans="1:9" x14ac:dyDescent="0.3">
      <c r="A23" s="84" t="s">
        <v>208</v>
      </c>
      <c r="B23" s="49"/>
      <c r="C23" s="49"/>
      <c r="D23" s="86" t="s">
        <v>203</v>
      </c>
      <c r="E23" s="54"/>
      <c r="F23" s="113" t="s">
        <v>191</v>
      </c>
      <c r="G23" s="114"/>
      <c r="H23" s="49"/>
    </row>
    <row r="24" spans="1:9" x14ac:dyDescent="0.3">
      <c r="A24" s="84" t="s">
        <v>209</v>
      </c>
      <c r="B24" s="61"/>
      <c r="C24" s="61"/>
      <c r="D24" s="42" t="s">
        <v>192</v>
      </c>
      <c r="E24" s="54"/>
      <c r="F24" s="115" t="s">
        <v>181</v>
      </c>
      <c r="G24" s="116"/>
      <c r="H24" s="49"/>
    </row>
    <row r="25" spans="1:9" ht="15" customHeight="1" x14ac:dyDescent="0.3">
      <c r="A25" s="46" t="s">
        <v>178</v>
      </c>
      <c r="B25" s="46"/>
      <c r="C25" s="46"/>
      <c r="D25" s="46"/>
      <c r="E25" s="46"/>
      <c r="F25" s="46"/>
      <c r="G25" s="46"/>
      <c r="H25" s="46"/>
      <c r="I25" s="65"/>
    </row>
    <row r="26" spans="1:9" x14ac:dyDescent="0.3">
      <c r="A26" s="107" t="s">
        <v>62</v>
      </c>
      <c r="B26" s="107"/>
      <c r="C26" s="107"/>
      <c r="D26" s="63" t="s">
        <v>63</v>
      </c>
      <c r="E26" s="108" t="s">
        <v>180</v>
      </c>
      <c r="F26" s="109"/>
      <c r="G26" s="109"/>
      <c r="H26" s="109"/>
    </row>
    <row r="27" spans="1:9" x14ac:dyDescent="0.3">
      <c r="A27" s="100"/>
      <c r="B27" s="101"/>
      <c r="C27" s="102"/>
      <c r="D27" s="8" t="s">
        <v>65</v>
      </c>
      <c r="E27" s="35" t="s">
        <v>179</v>
      </c>
      <c r="F27" s="35" t="s">
        <v>89</v>
      </c>
      <c r="G27" s="71" t="s">
        <v>205</v>
      </c>
      <c r="H27" s="7" t="s">
        <v>206</v>
      </c>
      <c r="I27" s="67"/>
    </row>
    <row r="28" spans="1:9" x14ac:dyDescent="0.3">
      <c r="A28" s="100"/>
      <c r="B28" s="101"/>
      <c r="C28" s="102"/>
      <c r="D28" s="8"/>
      <c r="E28" s="43"/>
      <c r="F28" s="44"/>
      <c r="G28" s="64"/>
      <c r="H28" s="35"/>
      <c r="I28" s="67"/>
    </row>
    <row r="29" spans="1:9" x14ac:dyDescent="0.3">
      <c r="A29" s="100"/>
      <c r="B29" s="101"/>
      <c r="C29" s="102"/>
      <c r="D29" s="8" t="s">
        <v>204</v>
      </c>
      <c r="E29" s="43"/>
      <c r="F29" s="44"/>
      <c r="G29" s="64"/>
      <c r="H29" s="35"/>
      <c r="I29" s="67"/>
    </row>
    <row r="30" spans="1:9" x14ac:dyDescent="0.3">
      <c r="A30" s="100"/>
      <c r="B30" s="101"/>
      <c r="C30" s="102"/>
      <c r="D30" s="8"/>
      <c r="E30" s="43"/>
      <c r="F30" s="44"/>
      <c r="G30" s="64"/>
      <c r="H30" s="35"/>
      <c r="I30" s="67"/>
    </row>
    <row r="31" spans="1:9" x14ac:dyDescent="0.3">
      <c r="A31" s="100"/>
      <c r="B31" s="101"/>
      <c r="C31" s="102"/>
      <c r="D31" s="8" t="s">
        <v>68</v>
      </c>
      <c r="E31" s="43"/>
      <c r="F31" s="44"/>
      <c r="G31" s="64"/>
      <c r="H31" s="35"/>
      <c r="I31" s="67"/>
    </row>
    <row r="32" spans="1:9" ht="15" customHeight="1" x14ac:dyDescent="0.3">
      <c r="A32" s="100"/>
      <c r="B32" s="101"/>
      <c r="C32" s="102"/>
      <c r="D32" s="8"/>
      <c r="E32" s="43"/>
      <c r="F32" s="44"/>
      <c r="G32" s="64"/>
      <c r="H32" s="35"/>
      <c r="I32" s="67"/>
    </row>
    <row r="33" spans="1:9" ht="4.5" hidden="1" customHeight="1" x14ac:dyDescent="0.3">
      <c r="A33" s="10"/>
      <c r="B33" s="10"/>
      <c r="C33" s="10"/>
      <c r="D33" s="10"/>
      <c r="E33" s="10"/>
      <c r="F33" s="10"/>
      <c r="G33" s="35"/>
      <c r="H33" s="66"/>
      <c r="I33" s="66"/>
    </row>
    <row r="34" spans="1:9" ht="15.6" x14ac:dyDescent="0.3">
      <c r="A34" s="103" t="s">
        <v>193</v>
      </c>
      <c r="B34" s="103"/>
      <c r="C34" s="103"/>
      <c r="D34" s="103"/>
      <c r="E34" s="103"/>
      <c r="F34" s="103"/>
      <c r="G34" s="103"/>
      <c r="H34" s="103"/>
      <c r="I34" s="48"/>
    </row>
    <row r="35" spans="1:9" ht="15" thickBot="1" x14ac:dyDescent="0.35">
      <c r="A35" s="74" t="s">
        <v>195</v>
      </c>
      <c r="B35" s="72" t="s">
        <v>194</v>
      </c>
      <c r="C35" s="73" t="s">
        <v>194</v>
      </c>
      <c r="D35" s="74" t="s">
        <v>197</v>
      </c>
      <c r="E35" s="72" t="s">
        <v>199</v>
      </c>
      <c r="F35" s="72" t="s">
        <v>200</v>
      </c>
      <c r="G35" s="72" t="s">
        <v>201</v>
      </c>
    </row>
    <row r="36" spans="1:9" x14ac:dyDescent="0.3">
      <c r="A36" s="76"/>
      <c r="B36" s="77"/>
      <c r="C36" s="78"/>
      <c r="D36" s="76"/>
      <c r="E36" s="77"/>
      <c r="F36" s="77"/>
      <c r="G36" s="78"/>
      <c r="H36" s="10"/>
      <c r="I36" s="10"/>
    </row>
    <row r="37" spans="1:9" x14ac:dyDescent="0.3">
      <c r="A37" s="79"/>
      <c r="B37" s="8"/>
      <c r="C37" s="80"/>
      <c r="D37" s="79"/>
      <c r="E37" s="8"/>
      <c r="F37" s="8"/>
      <c r="G37" s="80"/>
      <c r="H37" s="10"/>
      <c r="I37" s="10"/>
    </row>
    <row r="38" spans="1:9" ht="15" thickBot="1" x14ac:dyDescent="0.35">
      <c r="A38" s="81"/>
      <c r="B38" s="82"/>
      <c r="C38" s="83"/>
      <c r="D38" s="81"/>
      <c r="E38" s="82"/>
      <c r="F38" s="82"/>
      <c r="G38" s="83"/>
      <c r="H38" s="10"/>
      <c r="I38" s="10"/>
    </row>
    <row r="39" spans="1:9" ht="15" thickBot="1" x14ac:dyDescent="0.35">
      <c r="A39" s="75" t="s">
        <v>196</v>
      </c>
      <c r="B39" s="72" t="s">
        <v>194</v>
      </c>
      <c r="C39" s="73" t="s">
        <v>194</v>
      </c>
      <c r="D39" s="75" t="s">
        <v>198</v>
      </c>
      <c r="E39" s="72" t="s">
        <v>199</v>
      </c>
      <c r="F39" s="72" t="s">
        <v>200</v>
      </c>
      <c r="G39" s="72" t="s">
        <v>201</v>
      </c>
      <c r="H39" s="10"/>
      <c r="I39" s="10"/>
    </row>
    <row r="40" spans="1:9" x14ac:dyDescent="0.3">
      <c r="A40" s="76"/>
      <c r="B40" s="77"/>
      <c r="C40" s="78"/>
      <c r="D40" s="76"/>
      <c r="E40" s="77"/>
      <c r="F40" s="77"/>
      <c r="G40" s="78"/>
      <c r="H40" s="10"/>
      <c r="I40" s="10"/>
    </row>
    <row r="41" spans="1:9" x14ac:dyDescent="0.3">
      <c r="A41" s="79"/>
      <c r="B41" s="8"/>
      <c r="C41" s="80"/>
      <c r="D41" s="79"/>
      <c r="E41" s="8"/>
      <c r="F41" s="8"/>
      <c r="G41" s="80"/>
      <c r="H41" s="10"/>
      <c r="I41" s="10"/>
    </row>
    <row r="42" spans="1:9" ht="15" thickBot="1" x14ac:dyDescent="0.35">
      <c r="A42" s="81"/>
      <c r="B42" s="82"/>
      <c r="C42" s="83"/>
      <c r="D42" s="81"/>
      <c r="E42" s="82"/>
      <c r="F42" s="82"/>
      <c r="G42" s="83"/>
      <c r="H42" s="10"/>
      <c r="I42" s="10"/>
    </row>
    <row r="43" spans="1:9" ht="13.95" hidden="1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</row>
    <row r="44" spans="1:9" ht="2.5499999999999998" hidden="1" customHeight="1" x14ac:dyDescent="0.3">
      <c r="A44" s="45"/>
      <c r="B44" s="45"/>
      <c r="C44" s="45"/>
      <c r="D44" s="45"/>
      <c r="E44" s="45"/>
      <c r="F44" s="45"/>
      <c r="G44" s="45"/>
      <c r="H44" s="45"/>
      <c r="I44" s="45"/>
    </row>
    <row r="45" spans="1:9" ht="16.2" thickBot="1" x14ac:dyDescent="0.35">
      <c r="A45" s="104" t="s">
        <v>210</v>
      </c>
      <c r="B45" s="104"/>
      <c r="C45" s="104"/>
      <c r="D45" s="104"/>
      <c r="E45" s="104"/>
      <c r="F45" s="104"/>
      <c r="G45" s="104"/>
      <c r="H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68" t="s">
        <v>212</v>
      </c>
      <c r="E46" s="38" t="s">
        <v>213</v>
      </c>
      <c r="F46" s="38" t="s">
        <v>214</v>
      </c>
      <c r="G46" s="63" t="s">
        <v>215</v>
      </c>
      <c r="H46" s="63" t="s">
        <v>135</v>
      </c>
    </row>
    <row r="47" spans="1:9" ht="15" thickTop="1" x14ac:dyDescent="0.3">
      <c r="A47" s="8" t="s">
        <v>78</v>
      </c>
      <c r="B47" s="8">
        <v>12</v>
      </c>
      <c r="C47" s="8">
        <v>2</v>
      </c>
      <c r="D47" s="9" t="s">
        <v>216</v>
      </c>
      <c r="E47" s="70"/>
      <c r="F47" s="9"/>
      <c r="G47" s="69"/>
      <c r="H47" s="69"/>
    </row>
    <row r="48" spans="1:9" x14ac:dyDescent="0.3">
      <c r="A48" s="8" t="s">
        <v>80</v>
      </c>
      <c r="B48" s="8">
        <v>32</v>
      </c>
      <c r="C48" s="8">
        <v>5</v>
      </c>
      <c r="D48" s="9" t="s">
        <v>216</v>
      </c>
      <c r="E48" s="70"/>
      <c r="F48" s="9"/>
      <c r="G48" s="69"/>
      <c r="H48" s="69"/>
    </row>
    <row r="49" spans="1:8" x14ac:dyDescent="0.3">
      <c r="A49" s="8" t="s">
        <v>81</v>
      </c>
      <c r="B49" s="8">
        <v>3</v>
      </c>
      <c r="C49" s="8">
        <v>2</v>
      </c>
      <c r="D49" s="9" t="s">
        <v>217</v>
      </c>
      <c r="E49" s="70"/>
      <c r="F49" s="9"/>
      <c r="G49" s="69"/>
      <c r="H49" s="69"/>
    </row>
    <row r="50" spans="1:8" x14ac:dyDescent="0.3">
      <c r="A50" s="8" t="s">
        <v>82</v>
      </c>
      <c r="B50" s="1"/>
      <c r="C50" s="1"/>
      <c r="D50" s="9" t="s">
        <v>217</v>
      </c>
      <c r="E50" s="70"/>
      <c r="F50" s="9"/>
      <c r="G50" s="69"/>
      <c r="H50" s="69"/>
    </row>
    <row r="51" spans="1:8" x14ac:dyDescent="0.3">
      <c r="A51" s="13" t="s">
        <v>83</v>
      </c>
      <c r="B51" s="1">
        <v>2</v>
      </c>
      <c r="C51" s="1">
        <v>0</v>
      </c>
      <c r="D51" s="9" t="s">
        <v>217</v>
      </c>
      <c r="E51" s="70"/>
      <c r="F51" s="9"/>
      <c r="G51" s="69"/>
      <c r="H51" s="69"/>
    </row>
    <row r="52" spans="1:8" x14ac:dyDescent="0.3">
      <c r="A52" s="105" t="s">
        <v>211</v>
      </c>
      <c r="B52" s="117"/>
      <c r="C52" s="117"/>
      <c r="D52" s="117"/>
      <c r="E52" s="117"/>
      <c r="F52" s="117"/>
      <c r="G52" s="117"/>
      <c r="H52" s="117"/>
    </row>
    <row r="53" spans="1:8" x14ac:dyDescent="0.3">
      <c r="A53" s="106"/>
      <c r="B53" s="118"/>
      <c r="C53" s="118"/>
      <c r="D53" s="118"/>
      <c r="E53" s="118"/>
      <c r="F53" s="118"/>
      <c r="G53" s="118"/>
      <c r="H53" s="118"/>
    </row>
  </sheetData>
  <sheetProtection selectLockedCells="1"/>
  <mergeCells count="18">
    <mergeCell ref="D1:E1"/>
    <mergeCell ref="A2:C2"/>
    <mergeCell ref="A8:C8"/>
    <mergeCell ref="A26:C26"/>
    <mergeCell ref="D2:H2"/>
    <mergeCell ref="F24:G24"/>
    <mergeCell ref="B52:H53"/>
    <mergeCell ref="A52:A53"/>
    <mergeCell ref="F23:G23"/>
    <mergeCell ref="A34:H34"/>
    <mergeCell ref="A45:H45"/>
    <mergeCell ref="A27:C27"/>
    <mergeCell ref="A28:C28"/>
    <mergeCell ref="A29:C29"/>
    <mergeCell ref="A30:C30"/>
    <mergeCell ref="A31:C31"/>
    <mergeCell ref="A32:C32"/>
    <mergeCell ref="E26:H26"/>
  </mergeCells>
  <pageMargins left="0.25" right="0.25" top="0.44270833333333331" bottom="0.75" header="9.8958333333333329E-2" footer="0.3"/>
  <pageSetup scale="94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  <colBreaks count="2" manualBreakCount="2">
    <brk id="8" max="50" man="1"/>
    <brk id="9" max="5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6FF0-6CC6-4DAD-B8BD-635B956E7EE0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9C6B-478C-45F8-8C0A-C34DBCF804CA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55E3-E425-4BBE-BA60-779C39C8F65B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4E1B-49D1-4FF0-A18B-53C9CCA3969F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A533-3B89-4CE5-B998-35D5C203E266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A96A-C272-47D4-B299-92B9663B4C3D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DDDA-1659-44C4-A302-345653F2DB75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BEFC-4ED7-4FD2-9B4D-229A5B676CC2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2BA9-2710-44D0-8938-6ADCC19A6EF7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D5DB-4C28-46CF-91CA-CF3BB3924114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7DAA-C6D2-4BBD-9D67-A6527CBB8838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0B59-FBD2-4431-92FA-70A6D57FBC95}">
  <dimension ref="A1:I51"/>
  <sheetViews>
    <sheetView zoomScaleNormal="100" workbookViewId="0">
      <selection activeCell="AQ16" sqref="AQ16"/>
    </sheetView>
  </sheetViews>
  <sheetFormatPr defaultRowHeight="14.4" x14ac:dyDescent="0.3"/>
  <cols>
    <col min="1" max="1" width="21" customWidth="1"/>
    <col min="4" max="4" width="2.5546875" customWidth="1"/>
    <col min="5" max="5" width="24.5546875" customWidth="1"/>
    <col min="8" max="8" width="9.21875" customWidth="1"/>
    <col min="9" max="9" width="11.21875" customWidth="1"/>
    <col min="10" max="42" width="0" hidden="1" customWidth="1"/>
  </cols>
  <sheetData>
    <row r="1" spans="1:9" x14ac:dyDescent="0.3">
      <c r="B1" s="28">
        <v>45293</v>
      </c>
      <c r="C1" s="3" t="s">
        <v>0</v>
      </c>
      <c r="D1" s="110"/>
      <c r="E1" s="110"/>
    </row>
    <row r="2" spans="1:9" ht="15.6" x14ac:dyDescent="0.3">
      <c r="A2" s="111" t="s">
        <v>1</v>
      </c>
      <c r="B2" s="111"/>
      <c r="C2" s="111"/>
      <c r="D2" s="2"/>
      <c r="E2" s="112" t="s">
        <v>2</v>
      </c>
      <c r="F2" s="112"/>
      <c r="G2" s="112"/>
      <c r="H2" s="112"/>
      <c r="I2" s="112"/>
    </row>
    <row r="3" spans="1:9" x14ac:dyDescent="0.3">
      <c r="A3" t="s">
        <v>3</v>
      </c>
      <c r="B3" s="8">
        <v>57</v>
      </c>
      <c r="C3" s="12" t="s">
        <v>4</v>
      </c>
      <c r="D3" s="2"/>
      <c r="F3" t="s">
        <v>5</v>
      </c>
      <c r="G3" t="s">
        <v>6</v>
      </c>
      <c r="H3" t="s">
        <v>7</v>
      </c>
      <c r="I3" s="14" t="s">
        <v>8</v>
      </c>
    </row>
    <row r="4" spans="1:9" x14ac:dyDescent="0.3">
      <c r="A4" t="s">
        <v>9</v>
      </c>
      <c r="B4" s="8">
        <v>7</v>
      </c>
      <c r="C4" s="12" t="s">
        <v>10</v>
      </c>
      <c r="D4" s="2"/>
      <c r="E4" t="s">
        <v>11</v>
      </c>
      <c r="F4" s="20">
        <v>0.8</v>
      </c>
      <c r="G4" s="5">
        <v>0.8</v>
      </c>
      <c r="H4" s="24">
        <v>0.81</v>
      </c>
      <c r="I4" s="14" t="s">
        <v>12</v>
      </c>
    </row>
    <row r="5" spans="1:9" x14ac:dyDescent="0.3">
      <c r="A5" t="s">
        <v>13</v>
      </c>
      <c r="B5" s="8">
        <v>18</v>
      </c>
      <c r="C5" s="12" t="s">
        <v>14</v>
      </c>
      <c r="D5" s="2"/>
      <c r="E5" t="s">
        <v>15</v>
      </c>
      <c r="F5" s="20">
        <v>0.56000000000000005</v>
      </c>
      <c r="G5" s="5">
        <v>0.5</v>
      </c>
      <c r="H5" s="24">
        <v>0.39</v>
      </c>
      <c r="I5" s="19">
        <v>8.2000000000000003E-2</v>
      </c>
    </row>
    <row r="6" spans="1:9" x14ac:dyDescent="0.3">
      <c r="A6" t="s">
        <v>16</v>
      </c>
      <c r="B6" s="8">
        <v>65</v>
      </c>
      <c r="C6" s="119">
        <v>40</v>
      </c>
      <c r="D6" s="2"/>
      <c r="E6" t="s">
        <v>17</v>
      </c>
      <c r="F6" s="8">
        <v>98</v>
      </c>
      <c r="G6" s="5">
        <v>1</v>
      </c>
      <c r="H6" s="9">
        <v>98</v>
      </c>
      <c r="I6" s="14" t="s">
        <v>18</v>
      </c>
    </row>
    <row r="7" spans="1:9" x14ac:dyDescent="0.3">
      <c r="A7" t="s">
        <v>19</v>
      </c>
      <c r="B7" s="20">
        <v>9.7000000000000003E-2</v>
      </c>
      <c r="C7" s="119"/>
      <c r="D7" s="2"/>
      <c r="E7" t="s">
        <v>20</v>
      </c>
      <c r="F7" s="20">
        <v>0.57999999999999996</v>
      </c>
      <c r="G7" s="5">
        <v>0.25</v>
      </c>
      <c r="H7" s="25">
        <v>0.52</v>
      </c>
      <c r="I7" s="11">
        <v>89</v>
      </c>
    </row>
    <row r="8" spans="1:9" ht="15.6" x14ac:dyDescent="0.3">
      <c r="A8" s="112" t="s">
        <v>21</v>
      </c>
      <c r="B8" s="112"/>
      <c r="C8" s="112"/>
      <c r="D8" s="2"/>
      <c r="E8" t="s">
        <v>22</v>
      </c>
      <c r="F8" s="22">
        <v>3.2000000000000001E-2</v>
      </c>
      <c r="G8" s="5">
        <v>0.35</v>
      </c>
      <c r="H8" s="25">
        <v>3.2000000000000001E-2</v>
      </c>
      <c r="I8" s="7"/>
    </row>
    <row r="9" spans="1:9" x14ac:dyDescent="0.3">
      <c r="B9" t="s">
        <v>23</v>
      </c>
      <c r="C9" t="s">
        <v>24</v>
      </c>
      <c r="D9" s="2"/>
      <c r="E9" t="s">
        <v>25</v>
      </c>
      <c r="F9" s="8">
        <v>47.4</v>
      </c>
      <c r="G9" s="6" t="s">
        <v>26</v>
      </c>
      <c r="H9" s="25">
        <v>0.47399999999999998</v>
      </c>
      <c r="I9" s="7"/>
    </row>
    <row r="10" spans="1:9" x14ac:dyDescent="0.3">
      <c r="A10" t="s">
        <v>27</v>
      </c>
      <c r="B10" s="8">
        <v>72</v>
      </c>
      <c r="C10" s="5">
        <v>0.8</v>
      </c>
      <c r="D10" s="2"/>
      <c r="E10" t="s">
        <v>28</v>
      </c>
      <c r="F10" s="8">
        <v>1138</v>
      </c>
      <c r="G10" s="1"/>
      <c r="H10" s="9">
        <v>1138</v>
      </c>
      <c r="I10" s="7"/>
    </row>
    <row r="11" spans="1:9" x14ac:dyDescent="0.3">
      <c r="A11" t="s">
        <v>29</v>
      </c>
      <c r="B11" s="8">
        <v>40</v>
      </c>
      <c r="C11" s="5">
        <v>0.45</v>
      </c>
      <c r="D11" s="2"/>
      <c r="E11" t="s">
        <v>30</v>
      </c>
      <c r="F11" s="20">
        <v>0.96</v>
      </c>
      <c r="G11" s="1"/>
      <c r="H11" s="8">
        <v>96</v>
      </c>
    </row>
    <row r="12" spans="1:9" x14ac:dyDescent="0.3">
      <c r="A12" t="s">
        <v>31</v>
      </c>
      <c r="B12" s="8">
        <v>335.76</v>
      </c>
      <c r="C12" s="8"/>
      <c r="D12" s="2"/>
      <c r="E12" t="s">
        <v>32</v>
      </c>
      <c r="F12" s="20">
        <v>0.36</v>
      </c>
      <c r="G12" s="1"/>
      <c r="H12" s="20">
        <v>0.36</v>
      </c>
    </row>
    <row r="13" spans="1:9" x14ac:dyDescent="0.3">
      <c r="A13" t="s">
        <v>33</v>
      </c>
      <c r="B13" s="8">
        <v>92</v>
      </c>
      <c r="C13" s="5">
        <v>0.95</v>
      </c>
      <c r="D13" s="2"/>
      <c r="E13" t="s">
        <v>34</v>
      </c>
      <c r="F13" s="8">
        <v>92</v>
      </c>
      <c r="G13" s="1"/>
      <c r="H13" s="1">
        <v>92</v>
      </c>
    </row>
    <row r="14" spans="1:9" x14ac:dyDescent="0.3">
      <c r="A14" t="s">
        <v>35</v>
      </c>
      <c r="B14" s="8">
        <v>30</v>
      </c>
      <c r="C14" s="5">
        <v>0.25</v>
      </c>
      <c r="D14" s="2"/>
      <c r="E14" t="s">
        <v>36</v>
      </c>
      <c r="F14" s="8">
        <v>100</v>
      </c>
      <c r="G14" s="1"/>
      <c r="H14" s="26">
        <v>1</v>
      </c>
    </row>
    <row r="15" spans="1:9" ht="15.6" x14ac:dyDescent="0.3">
      <c r="A15" t="s">
        <v>37</v>
      </c>
      <c r="B15" s="8">
        <v>2.7</v>
      </c>
      <c r="C15" s="6" t="s">
        <v>38</v>
      </c>
      <c r="D15" s="2"/>
      <c r="E15" s="112" t="s">
        <v>39</v>
      </c>
      <c r="F15" s="112"/>
      <c r="G15" s="112"/>
      <c r="H15" s="112"/>
      <c r="I15" s="112"/>
    </row>
    <row r="16" spans="1:9" x14ac:dyDescent="0.3">
      <c r="A16" t="s">
        <v>40</v>
      </c>
      <c r="B16" s="8">
        <v>1.7</v>
      </c>
      <c r="C16" s="5">
        <v>0.16900000000000001</v>
      </c>
      <c r="D16" s="2"/>
      <c r="F16" s="13" t="s">
        <v>7</v>
      </c>
      <c r="G16" t="s">
        <v>41</v>
      </c>
      <c r="H16" t="s">
        <v>42</v>
      </c>
      <c r="I16" t="s">
        <v>41</v>
      </c>
    </row>
    <row r="17" spans="1:9" x14ac:dyDescent="0.3">
      <c r="A17" t="s">
        <v>43</v>
      </c>
      <c r="B17" s="8">
        <v>10.199999999999999</v>
      </c>
      <c r="C17" s="5">
        <v>0.17</v>
      </c>
      <c r="D17" s="2"/>
      <c r="E17" s="16" t="s">
        <v>44</v>
      </c>
      <c r="F17" s="8">
        <v>84.21</v>
      </c>
      <c r="G17" s="1">
        <v>78.3</v>
      </c>
      <c r="H17" s="1">
        <v>76.42</v>
      </c>
      <c r="I17" s="1">
        <v>73.06</v>
      </c>
    </row>
    <row r="18" spans="1:9" x14ac:dyDescent="0.3">
      <c r="A18" t="s">
        <v>45</v>
      </c>
      <c r="B18" s="8">
        <v>56.8</v>
      </c>
      <c r="C18" s="5">
        <v>0.28499999999999998</v>
      </c>
      <c r="D18" s="2"/>
      <c r="E18" s="17" t="s">
        <v>46</v>
      </c>
      <c r="F18" s="8" t="s">
        <v>7</v>
      </c>
      <c r="G18" s="8" t="s">
        <v>6</v>
      </c>
      <c r="H18" s="8" t="s">
        <v>47</v>
      </c>
      <c r="I18" s="1" t="s">
        <v>48</v>
      </c>
    </row>
    <row r="19" spans="1:9" x14ac:dyDescent="0.3">
      <c r="A19" t="s">
        <v>49</v>
      </c>
      <c r="B19" s="8">
        <v>3.8</v>
      </c>
      <c r="C19" s="5">
        <v>7.0099999999999996E-2</v>
      </c>
      <c r="D19" s="2"/>
      <c r="E19" s="4" t="s">
        <v>50</v>
      </c>
      <c r="F19" s="8">
        <v>96363</v>
      </c>
      <c r="G19" s="21">
        <v>225000</v>
      </c>
      <c r="H19" s="8">
        <v>15000</v>
      </c>
      <c r="I19" s="1" t="s">
        <v>51</v>
      </c>
    </row>
    <row r="20" spans="1:9" x14ac:dyDescent="0.3">
      <c r="A20" t="s">
        <v>52</v>
      </c>
      <c r="B20" s="8">
        <v>3.5</v>
      </c>
      <c r="C20" s="5">
        <v>6.0999999999999999E-2</v>
      </c>
      <c r="D20" s="2"/>
      <c r="E20" s="4" t="s">
        <v>53</v>
      </c>
      <c r="F20" s="8">
        <v>42489</v>
      </c>
      <c r="G20" s="8" t="s">
        <v>54</v>
      </c>
      <c r="H20" s="8">
        <v>10000</v>
      </c>
      <c r="I20" s="1" t="s">
        <v>51</v>
      </c>
    </row>
    <row r="21" spans="1:9" x14ac:dyDescent="0.3">
      <c r="A21" t="s">
        <v>55</v>
      </c>
      <c r="B21" s="21">
        <v>217418</v>
      </c>
      <c r="C21" s="5"/>
      <c r="D21" s="2"/>
      <c r="E21" s="4" t="s">
        <v>56</v>
      </c>
      <c r="F21" s="21">
        <v>241690</v>
      </c>
      <c r="G21" s="23">
        <v>500000</v>
      </c>
      <c r="H21" s="23">
        <v>64139</v>
      </c>
      <c r="I21" s="1" t="s">
        <v>51</v>
      </c>
    </row>
    <row r="22" spans="1:9" x14ac:dyDescent="0.3">
      <c r="A22" t="s">
        <v>57</v>
      </c>
      <c r="B22" s="23">
        <v>187068</v>
      </c>
      <c r="C22" s="23">
        <v>100000</v>
      </c>
      <c r="D22" s="2"/>
      <c r="E22" s="4" t="s">
        <v>58</v>
      </c>
      <c r="F22" s="8">
        <v>20985</v>
      </c>
      <c r="G22" s="1"/>
      <c r="H22" s="1">
        <v>20985</v>
      </c>
      <c r="I22" s="1"/>
    </row>
    <row r="23" spans="1:9" x14ac:dyDescent="0.3">
      <c r="B23" s="27"/>
      <c r="C23" s="27"/>
      <c r="D23" s="2"/>
      <c r="E23" s="4" t="s">
        <v>59</v>
      </c>
      <c r="F23" s="8"/>
      <c r="G23" s="1"/>
      <c r="H23" s="1"/>
      <c r="I23" s="1"/>
    </row>
    <row r="24" spans="1:9" x14ac:dyDescent="0.3">
      <c r="B24" s="27"/>
      <c r="C24" s="27"/>
      <c r="D24" s="2"/>
      <c r="E24" s="4" t="s">
        <v>60</v>
      </c>
      <c r="F24" s="8"/>
      <c r="G24" s="1"/>
      <c r="H24" s="1"/>
      <c r="I24" s="1"/>
    </row>
    <row r="25" spans="1:9" ht="15" customHeight="1" x14ac:dyDescent="0.3">
      <c r="A25" s="103" t="s">
        <v>61</v>
      </c>
      <c r="B25" s="103"/>
      <c r="C25" s="103"/>
      <c r="D25" s="103"/>
      <c r="E25" s="103"/>
      <c r="F25" s="103"/>
      <c r="G25" s="103"/>
      <c r="H25" s="103"/>
      <c r="I25" s="103"/>
    </row>
    <row r="26" spans="1:9" x14ac:dyDescent="0.3">
      <c r="A26" s="93" t="s">
        <v>62</v>
      </c>
      <c r="B26" s="93"/>
      <c r="C26" s="93"/>
      <c r="D26" s="126" t="s">
        <v>63</v>
      </c>
      <c r="E26" s="126"/>
      <c r="F26" s="126"/>
      <c r="G26" s="93" t="s">
        <v>64</v>
      </c>
      <c r="H26" s="93"/>
      <c r="I26" s="93"/>
    </row>
    <row r="27" spans="1:9" x14ac:dyDescent="0.3">
      <c r="A27" s="127"/>
      <c r="B27" s="127"/>
      <c r="C27" s="127"/>
      <c r="D27" s="120" t="s">
        <v>65</v>
      </c>
      <c r="E27" s="121"/>
      <c r="F27" s="122"/>
      <c r="G27" s="127" t="s">
        <v>66</v>
      </c>
      <c r="H27" s="127"/>
      <c r="I27" s="127"/>
    </row>
    <row r="28" spans="1:9" x14ac:dyDescent="0.3">
      <c r="A28" s="127"/>
      <c r="B28" s="127"/>
      <c r="C28" s="127"/>
      <c r="D28" s="123"/>
      <c r="E28" s="124"/>
      <c r="F28" s="125"/>
      <c r="G28" s="127"/>
      <c r="H28" s="127"/>
      <c r="I28" s="127"/>
    </row>
    <row r="29" spans="1:9" x14ac:dyDescent="0.3">
      <c r="A29" s="127"/>
      <c r="B29" s="127"/>
      <c r="C29" s="127"/>
      <c r="D29" s="120" t="s">
        <v>67</v>
      </c>
      <c r="E29" s="121"/>
      <c r="F29" s="122"/>
      <c r="G29" s="127"/>
      <c r="H29" s="127"/>
      <c r="I29" s="127"/>
    </row>
    <row r="30" spans="1:9" x14ac:dyDescent="0.3">
      <c r="A30" s="127"/>
      <c r="B30" s="127"/>
      <c r="C30" s="127"/>
      <c r="D30" s="123"/>
      <c r="E30" s="124"/>
      <c r="F30" s="125"/>
      <c r="G30" s="127"/>
      <c r="H30" s="127"/>
      <c r="I30" s="127"/>
    </row>
    <row r="31" spans="1:9" x14ac:dyDescent="0.3">
      <c r="A31" s="127"/>
      <c r="B31" s="127"/>
      <c r="C31" s="127"/>
      <c r="D31" s="120" t="s">
        <v>68</v>
      </c>
      <c r="E31" s="121"/>
      <c r="F31" s="122"/>
      <c r="G31" s="127"/>
      <c r="H31" s="127"/>
      <c r="I31" s="127"/>
    </row>
    <row r="32" spans="1:9" x14ac:dyDescent="0.3">
      <c r="A32" s="127"/>
      <c r="B32" s="127"/>
      <c r="C32" s="127"/>
      <c r="D32" s="123"/>
      <c r="E32" s="124"/>
      <c r="F32" s="125"/>
      <c r="G32" s="127"/>
      <c r="H32" s="127"/>
      <c r="I32" s="127"/>
    </row>
    <row r="33" spans="1:9" ht="4.5" customHeight="1" x14ac:dyDescent="0.3">
      <c r="A33" s="10"/>
      <c r="B33" s="10"/>
      <c r="C33" s="10"/>
      <c r="D33" s="10"/>
      <c r="E33" s="10"/>
      <c r="F33" s="10"/>
      <c r="G33" s="127"/>
      <c r="H33" s="127"/>
      <c r="I33" s="127"/>
    </row>
    <row r="34" spans="1:9" ht="15.6" x14ac:dyDescent="0.3">
      <c r="A34" s="103" t="s">
        <v>69</v>
      </c>
      <c r="B34" s="103"/>
      <c r="C34" s="103"/>
      <c r="D34" s="103"/>
      <c r="E34" s="103"/>
      <c r="F34" s="103"/>
      <c r="G34" s="103"/>
      <c r="H34" s="103"/>
      <c r="I34" s="103"/>
    </row>
    <row r="35" spans="1:9" x14ac:dyDescent="0.3">
      <c r="A35" s="93" t="s">
        <v>70</v>
      </c>
      <c r="B35" s="93"/>
      <c r="C35" s="126" t="s">
        <v>71</v>
      </c>
      <c r="D35" s="126"/>
      <c r="E35" s="126"/>
      <c r="F35" s="93" t="s">
        <v>72</v>
      </c>
      <c r="G35" s="93"/>
      <c r="H35" s="93"/>
      <c r="I35" s="93"/>
    </row>
    <row r="36" spans="1:9" x14ac:dyDescent="0.3">
      <c r="A36" s="120"/>
      <c r="B36" s="121"/>
      <c r="C36" s="122"/>
      <c r="D36" s="120"/>
      <c r="E36" s="121"/>
      <c r="F36" s="122"/>
      <c r="G36" s="120"/>
      <c r="H36" s="121"/>
      <c r="I36" s="122"/>
    </row>
    <row r="37" spans="1:9" x14ac:dyDescent="0.3">
      <c r="A37" s="123"/>
      <c r="B37" s="124"/>
      <c r="C37" s="125"/>
      <c r="D37" s="123"/>
      <c r="E37" s="124"/>
      <c r="F37" s="125"/>
      <c r="G37" s="123"/>
      <c r="H37" s="124"/>
      <c r="I37" s="125"/>
    </row>
    <row r="38" spans="1:9" x14ac:dyDescent="0.3">
      <c r="A38" s="120"/>
      <c r="B38" s="121"/>
      <c r="C38" s="122"/>
      <c r="D38" s="120"/>
      <c r="E38" s="121"/>
      <c r="F38" s="122"/>
      <c r="G38" s="120"/>
      <c r="H38" s="121"/>
      <c r="I38" s="122"/>
    </row>
    <row r="39" spans="1:9" x14ac:dyDescent="0.3">
      <c r="A39" s="123"/>
      <c r="B39" s="124"/>
      <c r="C39" s="125"/>
      <c r="D39" s="123"/>
      <c r="E39" s="124"/>
      <c r="F39" s="125"/>
      <c r="G39" s="123"/>
      <c r="H39" s="124"/>
      <c r="I39" s="125"/>
    </row>
    <row r="40" spans="1:9" x14ac:dyDescent="0.3">
      <c r="A40" s="120"/>
      <c r="B40" s="121"/>
      <c r="C40" s="122"/>
      <c r="D40" s="120"/>
      <c r="E40" s="121"/>
      <c r="F40" s="122"/>
      <c r="G40" s="120"/>
      <c r="H40" s="121"/>
      <c r="I40" s="122"/>
    </row>
    <row r="41" spans="1:9" x14ac:dyDescent="0.3">
      <c r="A41" s="123"/>
      <c r="B41" s="124"/>
      <c r="C41" s="125"/>
      <c r="D41" s="123"/>
      <c r="E41" s="124"/>
      <c r="F41" s="125"/>
      <c r="G41" s="123"/>
      <c r="H41" s="124"/>
      <c r="I41" s="125"/>
    </row>
    <row r="42" spans="1:9" x14ac:dyDescent="0.3">
      <c r="A42" s="120"/>
      <c r="B42" s="121"/>
      <c r="C42" s="122"/>
      <c r="D42" s="120"/>
      <c r="E42" s="121"/>
      <c r="F42" s="122"/>
      <c r="G42" s="120"/>
      <c r="H42" s="121"/>
      <c r="I42" s="122"/>
    </row>
    <row r="43" spans="1:9" x14ac:dyDescent="0.3">
      <c r="A43" s="123"/>
      <c r="B43" s="124"/>
      <c r="C43" s="125"/>
      <c r="D43" s="123"/>
      <c r="E43" s="124"/>
      <c r="F43" s="125"/>
      <c r="G43" s="123"/>
      <c r="H43" s="124"/>
      <c r="I43" s="125"/>
    </row>
    <row r="44" spans="1:9" ht="3.6" customHeight="1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ht="16.2" thickBot="1" x14ac:dyDescent="0.35">
      <c r="A45" s="104" t="s">
        <v>73</v>
      </c>
      <c r="B45" s="104"/>
      <c r="C45" s="104"/>
      <c r="D45" s="104"/>
      <c r="E45" s="104"/>
      <c r="F45" s="104"/>
      <c r="G45" s="104"/>
      <c r="H45" s="104"/>
      <c r="I45" s="104"/>
    </row>
    <row r="46" spans="1:9" ht="15.6" thickTop="1" thickBot="1" x14ac:dyDescent="0.35">
      <c r="A46" s="18" t="s">
        <v>74</v>
      </c>
      <c r="B46" s="15" t="s">
        <v>75</v>
      </c>
      <c r="C46" s="15" t="s">
        <v>14</v>
      </c>
      <c r="D46" s="128" t="s">
        <v>76</v>
      </c>
      <c r="E46" s="129"/>
      <c r="F46" s="130" t="s">
        <v>77</v>
      </c>
      <c r="G46" s="131"/>
      <c r="H46" s="131"/>
      <c r="I46" s="131"/>
    </row>
    <row r="47" spans="1:9" ht="15" thickTop="1" x14ac:dyDescent="0.3">
      <c r="A47" s="8" t="s">
        <v>78</v>
      </c>
      <c r="B47" s="8">
        <v>12</v>
      </c>
      <c r="C47" s="8">
        <v>2</v>
      </c>
      <c r="D47" s="132" t="s">
        <v>79</v>
      </c>
      <c r="E47" s="133"/>
      <c r="F47" s="132"/>
      <c r="G47" s="134"/>
      <c r="H47" s="134"/>
      <c r="I47" s="133"/>
    </row>
    <row r="48" spans="1:9" x14ac:dyDescent="0.3">
      <c r="A48" s="8" t="s">
        <v>80</v>
      </c>
      <c r="B48" s="8">
        <v>32</v>
      </c>
      <c r="C48" s="8">
        <v>5</v>
      </c>
      <c r="D48" s="132"/>
      <c r="E48" s="133"/>
      <c r="F48" s="132"/>
      <c r="G48" s="134"/>
      <c r="H48" s="134"/>
      <c r="I48" s="133"/>
    </row>
    <row r="49" spans="1:9" x14ac:dyDescent="0.3">
      <c r="A49" s="8" t="s">
        <v>81</v>
      </c>
      <c r="B49" s="8">
        <v>3</v>
      </c>
      <c r="C49" s="8">
        <v>2</v>
      </c>
      <c r="D49" s="132"/>
      <c r="E49" s="133"/>
      <c r="F49" s="132"/>
      <c r="G49" s="134"/>
      <c r="H49" s="134"/>
      <c r="I49" s="133"/>
    </row>
    <row r="50" spans="1:9" x14ac:dyDescent="0.3">
      <c r="A50" s="8" t="s">
        <v>82</v>
      </c>
      <c r="B50" s="1"/>
      <c r="C50" s="1"/>
      <c r="D50" s="132"/>
      <c r="E50" s="133"/>
      <c r="F50" s="132"/>
      <c r="G50" s="134"/>
      <c r="H50" s="134"/>
      <c r="I50" s="133"/>
    </row>
    <row r="51" spans="1:9" x14ac:dyDescent="0.3">
      <c r="A51" s="8" t="s">
        <v>83</v>
      </c>
      <c r="B51" s="1">
        <v>2</v>
      </c>
      <c r="C51" s="1">
        <v>0</v>
      </c>
      <c r="D51" s="132"/>
      <c r="E51" s="133"/>
      <c r="F51" s="132"/>
      <c r="G51" s="134"/>
      <c r="H51" s="134"/>
      <c r="I51" s="133"/>
    </row>
  </sheetData>
  <sheetProtection selectLockedCells="1"/>
  <mergeCells count="46">
    <mergeCell ref="D51:E51"/>
    <mergeCell ref="F51:I51"/>
    <mergeCell ref="D47:E47"/>
    <mergeCell ref="F47:I47"/>
    <mergeCell ref="D48:E48"/>
    <mergeCell ref="F48:I48"/>
    <mergeCell ref="D49:E49"/>
    <mergeCell ref="F49:I49"/>
    <mergeCell ref="A45:I45"/>
    <mergeCell ref="D46:E46"/>
    <mergeCell ref="F46:I46"/>
    <mergeCell ref="D50:E50"/>
    <mergeCell ref="F50:I50"/>
    <mergeCell ref="A40:C41"/>
    <mergeCell ref="D40:F41"/>
    <mergeCell ref="G40:I41"/>
    <mergeCell ref="A42:C43"/>
    <mergeCell ref="D42:F43"/>
    <mergeCell ref="G42:I43"/>
    <mergeCell ref="C35:E35"/>
    <mergeCell ref="F35:I35"/>
    <mergeCell ref="A38:C39"/>
    <mergeCell ref="D38:F39"/>
    <mergeCell ref="G38:I39"/>
    <mergeCell ref="A36:C37"/>
    <mergeCell ref="D36:F37"/>
    <mergeCell ref="G36:I37"/>
    <mergeCell ref="A25:I25"/>
    <mergeCell ref="A26:C26"/>
    <mergeCell ref="D26:F26"/>
    <mergeCell ref="G26:I26"/>
    <mergeCell ref="A27:C28"/>
    <mergeCell ref="D27:F28"/>
    <mergeCell ref="G27:I33"/>
    <mergeCell ref="A29:C30"/>
    <mergeCell ref="D29:F30"/>
    <mergeCell ref="A31:C32"/>
    <mergeCell ref="D31:F32"/>
    <mergeCell ref="A34:I34"/>
    <mergeCell ref="A35:B35"/>
    <mergeCell ref="E15:I15"/>
    <mergeCell ref="D1:E1"/>
    <mergeCell ref="A2:C2"/>
    <mergeCell ref="E2:I2"/>
    <mergeCell ref="C6:C7"/>
    <mergeCell ref="A8:C8"/>
  </mergeCells>
  <pageMargins left="0.25" right="0.25" top="0.44270833333333331" bottom="0.75" header="9.8958333333333329E-2" footer="0.3"/>
  <pageSetup scale="98" orientation="portrait" horizontalDpi="360" verticalDpi="360" r:id="rId1"/>
  <headerFooter>
    <oddHeader>&amp;C&amp;18Daily Smart Start/Mgr Meeting Worksheet</oddHeader>
    <oddFooter xml:space="preserve">&amp;CFill this worksheet out the night before to be prepared for Smart Start/Mgr Meeting each morning. 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2282655A1DBC4993368821B92D5D59" ma:contentTypeVersion="3" ma:contentTypeDescription="Create a new document." ma:contentTypeScope="" ma:versionID="d8ae505898bac467586b4d8df3938612">
  <xsd:schema xmlns:xsd="http://www.w3.org/2001/XMLSchema" xmlns:xs="http://www.w3.org/2001/XMLSchema" xmlns:p="http://schemas.microsoft.com/office/2006/metadata/properties" xmlns:ns2="2cbc78f4-32d1-442b-b1f9-7a1448e78a95" targetNamespace="http://schemas.microsoft.com/office/2006/metadata/properties" ma:root="true" ma:fieldsID="86bce88ee906a3f8c84a6d42ae9cf8a4" ns2:_="">
    <xsd:import namespace="2cbc78f4-32d1-442b-b1f9-7a1448e78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c78f4-32d1-442b-b1f9-7a1448e78a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CB2321-6BF3-4B2A-B0AE-6D8F28BB7F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511D63-0868-4D16-BD0E-5B462B86C8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bc78f4-32d1-442b-b1f9-7a1448e78a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3C0C75-E98D-4422-A74D-9DFB2F2990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CHristian wants</vt:lpstr>
      <vt:lpstr>DSSW.SVC</vt:lpstr>
      <vt:lpstr>DSSW.Pts</vt:lpstr>
      <vt:lpstr>BMW Monday</vt:lpstr>
      <vt:lpstr>Audi Monday</vt:lpstr>
      <vt:lpstr>MB Monday</vt:lpstr>
      <vt:lpstr>Porsche Monday</vt:lpstr>
      <vt:lpstr>Ford Monday</vt:lpstr>
      <vt:lpstr>Honda R Monday</vt:lpstr>
      <vt:lpstr>LR Monday</vt:lpstr>
      <vt:lpstr>Honda SV Monday</vt:lpstr>
      <vt:lpstr>Acura Monday</vt:lpstr>
      <vt:lpstr>Chevy Monday</vt:lpstr>
      <vt:lpstr>Toyota Monday</vt:lpstr>
      <vt:lpstr>Subaru Monday</vt:lpstr>
      <vt:lpstr>VW Audi Monday</vt:lpstr>
      <vt:lpstr>'Acura Monday'!Print_Area</vt:lpstr>
      <vt:lpstr>'Audi Monday'!Print_Area</vt:lpstr>
      <vt:lpstr>'BMW Monday'!Print_Area</vt:lpstr>
      <vt:lpstr>'Chevy Monday'!Print_Area</vt:lpstr>
      <vt:lpstr>'CHristian wants'!Print_Area</vt:lpstr>
      <vt:lpstr>DSSW.Pts!Print_Area</vt:lpstr>
      <vt:lpstr>DSSW.SVC!Print_Area</vt:lpstr>
      <vt:lpstr>'Ford Monday'!Print_Area</vt:lpstr>
      <vt:lpstr>'Honda R Monday'!Print_Area</vt:lpstr>
      <vt:lpstr>'Honda SV Monday'!Print_Area</vt:lpstr>
      <vt:lpstr>'LR Monday'!Print_Area</vt:lpstr>
      <vt:lpstr>'MB Monday'!Print_Area</vt:lpstr>
      <vt:lpstr>'Porsche Monday'!Print_Area</vt:lpstr>
      <vt:lpstr>'Subaru Monday'!Print_Area</vt:lpstr>
      <vt:lpstr>'Toyota Monday'!Print_Area</vt:lpstr>
      <vt:lpstr>'VW Audi Monday'!Print_Area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Lonnie Robinett</dc:creator>
  <cp:keywords/>
  <dc:description/>
  <cp:lastModifiedBy>Lonnie Robinett</cp:lastModifiedBy>
  <cp:revision/>
  <dcterms:created xsi:type="dcterms:W3CDTF">2020-08-05T04:00:24Z</dcterms:created>
  <dcterms:modified xsi:type="dcterms:W3CDTF">2026-04-05T16:18:13Z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0x010100952282655A1DBC4993368821B92D5D59</vt:lpwstr>
  </property>
</Properties>
</file>